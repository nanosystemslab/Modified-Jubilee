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Averages" sheetId="2" r:id="rId5"/>
    <sheet state="visible" name="Percentage Change" sheetId="3" r:id="rId6"/>
    <sheet state="visible" name="Copy of Percentage Change" sheetId="4" r:id="rId7"/>
  </sheets>
  <definedNames/>
  <calcPr/>
  <extLst>
    <ext uri="GoogleSheetsCustomDataVersion2">
      <go:sheetsCustomData xmlns:go="http://customooxmlschemas.google.com/" r:id="rId8" roundtripDataChecksum="c/O/07yg+rI/oCCiuU3IOYQKInwziGAZuoZRnNTWj+E="/>
    </ext>
  </extLst>
</workbook>
</file>

<file path=xl/sharedStrings.xml><?xml version="1.0" encoding="utf-8"?>
<sst xmlns="http://schemas.openxmlformats.org/spreadsheetml/2006/main" count="190" uniqueCount="84">
  <si>
    <t>PLA</t>
  </si>
  <si>
    <t>File</t>
  </si>
  <si>
    <t>Ultimate Tensile Strength (UTS) [MPa]</t>
  </si>
  <si>
    <t>Tensile Strain at UTS</t>
  </si>
  <si>
    <t>Young's Modulus (E) [MPa]</t>
  </si>
  <si>
    <t>IPA</t>
  </si>
  <si>
    <t>PLA-IPA-1.csv</t>
  </si>
  <si>
    <t>PLA-IPA-2.csv</t>
  </si>
  <si>
    <t>PLA-IPA-3.csv</t>
  </si>
  <si>
    <t>PLA-IPA-4.csv</t>
  </si>
  <si>
    <t>PLA-IPA-5.csv</t>
  </si>
  <si>
    <t>Average</t>
  </si>
  <si>
    <t>Standard Deviation</t>
  </si>
  <si>
    <t>Standard Deviation of the Mean</t>
  </si>
  <si>
    <t>Water</t>
  </si>
  <si>
    <t>PLA-W-1.csv</t>
  </si>
  <si>
    <t>PLA-W-2.csv</t>
  </si>
  <si>
    <t>PLA-W-3.csv</t>
  </si>
  <si>
    <t>PLA-W-4.csv</t>
  </si>
  <si>
    <t>PLA-W-5.csv</t>
  </si>
  <si>
    <t>Acetone</t>
  </si>
  <si>
    <t>PLA-A-1.csv</t>
  </si>
  <si>
    <t>PLA-A-2.csv</t>
  </si>
  <si>
    <t>PLA-A-3.csv</t>
  </si>
  <si>
    <t>PLA-A-4.csv</t>
  </si>
  <si>
    <t>PLA-A-5.csv</t>
  </si>
  <si>
    <t>Control</t>
  </si>
  <si>
    <t>P-run-1.csv</t>
  </si>
  <si>
    <t>P-run-2.csv</t>
  </si>
  <si>
    <t>P-run-3.csv</t>
  </si>
  <si>
    <t>P-run-4.csv</t>
  </si>
  <si>
    <t>P-run-5.csv</t>
  </si>
  <si>
    <t>Grey Resin V4</t>
  </si>
  <si>
    <t>Resin_IPA_1.csv</t>
  </si>
  <si>
    <t>Resin_IPA_2.csv</t>
  </si>
  <si>
    <t>Resin_IPA_3.csv</t>
  </si>
  <si>
    <t>Resin_IPA_4.csv</t>
  </si>
  <si>
    <t>Resin_IPA_5.csv</t>
  </si>
  <si>
    <t>Resin_W_1.csv</t>
  </si>
  <si>
    <t>Resin_W_2.csv</t>
  </si>
  <si>
    <t>Resin_W_3.csv</t>
  </si>
  <si>
    <t>Resin_W_4.csv</t>
  </si>
  <si>
    <t>Resin_W_5.csv</t>
  </si>
  <si>
    <t>Resin_A_1.csv</t>
  </si>
  <si>
    <t>Resin_A_2a.csv</t>
  </si>
  <si>
    <t>Resin_A_3.csv</t>
  </si>
  <si>
    <t>Resin_A_4.csv</t>
  </si>
  <si>
    <t>Resin_A_5.csv</t>
  </si>
  <si>
    <t>R-run-1.csv</t>
  </si>
  <si>
    <t>R-run-2.csv</t>
  </si>
  <si>
    <t>R-run-3.csv</t>
  </si>
  <si>
    <t>R-run-4.csv</t>
  </si>
  <si>
    <t>R-run-5.csv</t>
  </si>
  <si>
    <t>Average Tensile Testing Data</t>
  </si>
  <si>
    <t>Material Type</t>
  </si>
  <si>
    <t>Chemical Solution</t>
  </si>
  <si>
    <t>25 ± 2.4</t>
  </si>
  <si>
    <t>0.31 ± 0.025</t>
  </si>
  <si>
    <t>0.44 ± 1.8</t>
  </si>
  <si>
    <t>44 ± 0.86</t>
  </si>
  <si>
    <t>0.22 ± 0.010</t>
  </si>
  <si>
    <t>2.9 ± 0.64</t>
  </si>
  <si>
    <t>45 ± 0.67</t>
  </si>
  <si>
    <t>0.20 ± 0.0090</t>
  </si>
  <si>
    <t>2.8 ± 0.52</t>
  </si>
  <si>
    <t>43 ± 0.59</t>
  </si>
  <si>
    <t>0.22 ± 0.0064</t>
  </si>
  <si>
    <t>3.6 ± 1.0</t>
  </si>
  <si>
    <t>32 ± 1.7</t>
  </si>
  <si>
    <t>0.29 ± 0.036</t>
  </si>
  <si>
    <t>4.1 ± 0.48</t>
  </si>
  <si>
    <t>64 ± 0.89</t>
  </si>
  <si>
    <t>0.40 ± 0.022</t>
  </si>
  <si>
    <t>4.1 ± 0.53</t>
  </si>
  <si>
    <t>60 ± 0.52</t>
  </si>
  <si>
    <t>0.39 ± 0.010</t>
  </si>
  <si>
    <t>5.1 ± 0.56</t>
  </si>
  <si>
    <t>64 ± 0.87</t>
  </si>
  <si>
    <t>0.34 ± 0.026</t>
  </si>
  <si>
    <t>3.6 ± 0.31</t>
  </si>
  <si>
    <t>Percentage Change vs. Control</t>
  </si>
  <si>
    <t>Tensile Strength</t>
  </si>
  <si>
    <t>Tensile Strain</t>
  </si>
  <si>
    <t>Young's Modulus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</si>
</sst>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"/>
    <numFmt numFmtId="165" formatCode="0.000"/>
    <numFmt numFmtId="166" formatCode="0.0000"/>
    <numFmt numFmtId="167" formatCode="0.00000"/>
  </numFmts>
  <fonts count="12">
    <font>
      <sz val="11.0"/>
      <color theme="1"/>
      <name val="Calibri"/>
      <scheme val="minor"/>
    </font>
    <font>
      <b/>
      <sz val="24.0"/>
      <color theme="1"/>
      <name val="Calibri"/>
      <scheme val="minor"/>
    </font>
    <font/>
    <font>
      <color theme="1"/>
      <name val="Calibri"/>
      <scheme val="minor"/>
    </font>
    <font>
      <b/>
      <sz val="14.0"/>
      <color theme="1"/>
      <name val="Calibri"/>
      <scheme val="minor"/>
    </font>
    <font>
      <sz val="11.0"/>
      <color theme="1"/>
      <name val="Calibri"/>
    </font>
    <font>
      <b/>
      <sz val="24.0"/>
      <color theme="1"/>
      <name val="Calibri"/>
    </font>
    <font>
      <b/>
      <sz val="14.0"/>
      <color theme="1"/>
      <name val="Calibri"/>
    </font>
    <font>
      <b/>
      <sz val="16.0"/>
      <color theme="1"/>
      <name val="Arial"/>
    </font>
    <font>
      <b/>
      <sz val="12.0"/>
      <color theme="1"/>
      <name val="Arial"/>
    </font>
    <font>
      <sz val="12.0"/>
      <color theme="1"/>
      <name val="Arial"/>
    </font>
    <font>
      <sz val="11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0" fontId="3" numFmtId="0" xfId="0" applyBorder="1" applyFont="1"/>
    <xf borderId="4" fillId="0" fontId="4" numFmtId="0" xfId="0" applyAlignment="1" applyBorder="1" applyFont="1">
      <alignment horizontal="center" readingOrder="0" shrinkToFit="0" vertical="top" wrapText="1"/>
    </xf>
    <xf borderId="4" fillId="0" fontId="4" numFmtId="1" xfId="0" applyAlignment="1" applyBorder="1" applyFont="1" applyNumberFormat="1">
      <alignment horizontal="center" readingOrder="0" shrinkToFit="0" vertical="top" wrapText="1"/>
    </xf>
    <xf borderId="4" fillId="0" fontId="4" numFmtId="0" xfId="0" applyAlignment="1" applyBorder="1" applyFont="1">
      <alignment horizontal="center" readingOrder="0" shrinkToFit="0" vertical="top" wrapText="1"/>
    </xf>
    <xf borderId="5" fillId="0" fontId="4" numFmtId="0" xfId="0" applyAlignment="1" applyBorder="1" applyFont="1">
      <alignment horizontal="center" readingOrder="0" vertical="center"/>
    </xf>
    <xf borderId="4" fillId="0" fontId="3" numFmtId="1" xfId="0" applyBorder="1" applyFont="1" applyNumberFormat="1"/>
    <xf borderId="4" fillId="0" fontId="3" numFmtId="2" xfId="0" applyBorder="1" applyFont="1" applyNumberFormat="1"/>
    <xf borderId="4" fillId="0" fontId="3" numFmtId="164" xfId="0" applyBorder="1" applyFont="1" applyNumberFormat="1"/>
    <xf borderId="6" fillId="0" fontId="2" numFmtId="0" xfId="0" applyBorder="1" applyFont="1"/>
    <xf borderId="4" fillId="2" fontId="3" numFmtId="0" xfId="0" applyBorder="1" applyFill="1" applyFont="1"/>
    <xf borderId="4" fillId="2" fontId="3" numFmtId="1" xfId="0" applyBorder="1" applyFont="1" applyNumberFormat="1"/>
    <xf borderId="4" fillId="2" fontId="3" numFmtId="2" xfId="0" applyBorder="1" applyFont="1" applyNumberFormat="1"/>
    <xf borderId="4" fillId="2" fontId="3" numFmtId="0" xfId="0" applyAlignment="1" applyBorder="1" applyFont="1">
      <alignment readingOrder="0"/>
    </xf>
    <xf borderId="4" fillId="2" fontId="3" numFmtId="164" xfId="0" applyBorder="1" applyFont="1" applyNumberFormat="1"/>
    <xf borderId="4" fillId="2" fontId="3" numFmtId="165" xfId="0" applyBorder="1" applyFont="1" applyNumberFormat="1"/>
    <xf borderId="7" fillId="0" fontId="2" numFmtId="0" xfId="0" applyBorder="1" applyFont="1"/>
    <xf borderId="4" fillId="0" fontId="3" numFmtId="0" xfId="0" applyAlignment="1" applyBorder="1" applyFont="1">
      <alignment readingOrder="0"/>
    </xf>
    <xf borderId="4" fillId="0" fontId="5" numFmtId="1" xfId="0" applyAlignment="1" applyBorder="1" applyFont="1" applyNumberFormat="1">
      <alignment horizontal="right" vertical="bottom"/>
    </xf>
    <xf borderId="4" fillId="0" fontId="5" numFmtId="2" xfId="0" applyAlignment="1" applyBorder="1" applyFont="1" applyNumberForma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2" fontId="5" numFmtId="1" xfId="0" applyAlignment="1" applyBorder="1" applyFont="1" applyNumberFormat="1">
      <alignment horizontal="right" vertical="bottom"/>
    </xf>
    <xf borderId="4" fillId="2" fontId="5" numFmtId="2" xfId="0" applyAlignment="1" applyBorder="1" applyFont="1" applyNumberFormat="1">
      <alignment horizontal="right" vertical="bottom"/>
    </xf>
    <xf borderId="4" fillId="2" fontId="5" numFmtId="164" xfId="0" applyAlignment="1" applyBorder="1" applyFont="1" applyNumberFormat="1">
      <alignment horizontal="right" vertical="bottom"/>
    </xf>
    <xf borderId="4" fillId="0" fontId="5" numFmtId="0" xfId="0" applyAlignment="1" applyBorder="1" applyFont="1">
      <alignment vertical="bottom"/>
    </xf>
    <xf borderId="4" fillId="2" fontId="5" numFmtId="0" xfId="0" applyAlignment="1" applyBorder="1" applyFont="1">
      <alignment vertical="bottom"/>
    </xf>
    <xf borderId="4" fillId="2" fontId="3" numFmtId="166" xfId="0" applyBorder="1" applyFont="1" applyNumberFormat="1"/>
    <xf borderId="4" fillId="0" fontId="5" numFmtId="0" xfId="0" applyAlignment="1" applyBorder="1" applyFont="1">
      <alignment horizontal="right" vertical="bottom"/>
    </xf>
    <xf borderId="1" fillId="0" fontId="6" numFmtId="0" xfId="0" applyAlignment="1" applyBorder="1" applyFont="1">
      <alignment horizontal="center" readingOrder="0" vertical="bottom"/>
    </xf>
    <xf borderId="4" fillId="0" fontId="7" numFmtId="0" xfId="0" applyAlignment="1" applyBorder="1" applyFont="1">
      <alignment horizontal="center" vertical="top"/>
    </xf>
    <xf borderId="5" fillId="0" fontId="7" numFmtId="0" xfId="0" applyAlignment="1" applyBorder="1" applyFont="1">
      <alignment horizontal="center" vertical="center"/>
    </xf>
    <xf borderId="1" fillId="3" fontId="8" numFmtId="0" xfId="0" applyAlignment="1" applyBorder="1" applyFill="1" applyFont="1">
      <alignment horizontal="center" readingOrder="0" shrinkToFit="0" vertical="center" wrapText="1"/>
    </xf>
    <xf borderId="4" fillId="4" fontId="9" numFmtId="0" xfId="0" applyAlignment="1" applyBorder="1" applyFill="1" applyFont="1">
      <alignment horizontal="center" readingOrder="0" shrinkToFit="0" vertical="center" wrapText="1"/>
    </xf>
    <xf borderId="5" fillId="5" fontId="10" numFmtId="0" xfId="0" applyAlignment="1" applyBorder="1" applyFill="1" applyFont="1">
      <alignment horizontal="center" readingOrder="0" shrinkToFit="0" vertical="center" wrapText="1"/>
    </xf>
    <xf borderId="4" fillId="5" fontId="10" numFmtId="0" xfId="0" applyAlignment="1" applyBorder="1" applyFont="1">
      <alignment horizontal="center" readingOrder="0" shrinkToFit="0" vertical="center" wrapText="1"/>
    </xf>
    <xf borderId="4" fillId="5" fontId="11" numFmtId="167" xfId="0" applyAlignment="1" applyBorder="1" applyFont="1" applyNumberFormat="1">
      <alignment horizontal="right" readingOrder="0" shrinkToFit="0" wrapText="1"/>
    </xf>
    <xf borderId="4" fillId="5" fontId="11" numFmtId="167" xfId="0" applyAlignment="1" applyBorder="1" applyFont="1" applyNumberFormat="1">
      <alignment horizontal="right" readingOrder="0" shrinkToFit="0" vertical="bottom" wrapText="1"/>
    </xf>
    <xf borderId="5" fillId="6" fontId="10" numFmtId="0" xfId="0" applyAlignment="1" applyBorder="1" applyFill="1" applyFont="1">
      <alignment horizontal="center" readingOrder="0" shrinkToFit="0" vertical="center" wrapText="1"/>
    </xf>
    <xf borderId="4" fillId="6" fontId="10" numFmtId="0" xfId="0" applyAlignment="1" applyBorder="1" applyFont="1">
      <alignment horizontal="center" readingOrder="0" shrinkToFit="0" vertical="center" wrapText="1"/>
    </xf>
    <xf borderId="4" fillId="6" fontId="11" numFmtId="167" xfId="0" applyAlignment="1" applyBorder="1" applyFont="1" applyNumberFormat="1">
      <alignment horizontal="right" readingOrder="0" shrinkToFit="0" vertical="bottom" wrapText="1"/>
    </xf>
    <xf borderId="1" fillId="7" fontId="8" numFmtId="0" xfId="0" applyAlignment="1" applyBorder="1" applyFill="1" applyFont="1">
      <alignment horizontal="center" readingOrder="0" shrinkToFit="0" vertical="center" wrapText="1"/>
    </xf>
    <xf borderId="4" fillId="8" fontId="9" numFmtId="0" xfId="0" applyAlignment="1" applyBorder="1" applyFill="1" applyFon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11" numFmtId="167" xfId="0" applyAlignment="1" applyBorder="1" applyFont="1" applyNumberFormat="1">
      <alignment horizontal="right" readingOrder="0" shrinkToFit="0" wrapText="1"/>
    </xf>
    <xf borderId="4" fillId="0" fontId="11" numFmtId="167" xfId="0" applyAlignment="1" applyBorder="1" applyFont="1" applyNumberFormat="1">
      <alignment horizontal="right" readingOrder="0" shrinkToFit="0" vertical="bottom" wrapText="1"/>
    </xf>
    <xf borderId="1" fillId="3" fontId="8" numFmtId="0" xfId="0" applyAlignment="1" applyBorder="1" applyFont="1">
      <alignment horizontal="center" readingOrder="0" shrinkToFit="0" wrapText="1"/>
    </xf>
    <xf borderId="4" fillId="4" fontId="9" numFmtId="0" xfId="0" applyAlignment="1" applyBorder="1" applyFont="1">
      <alignment horizontal="center" readingOrder="0" shrinkToFit="0" wrapText="1"/>
    </xf>
    <xf borderId="4" fillId="4" fontId="9" numFmtId="0" xfId="0" applyAlignment="1" applyBorder="1" applyFont="1">
      <alignment horizontal="center" readingOrder="0" shrinkToFit="0" vertical="top" wrapText="1"/>
    </xf>
    <xf borderId="4" fillId="4" fontId="9" numFmtId="0" xfId="0" applyAlignment="1" applyBorder="1" applyFont="1">
      <alignment horizontal="center" readingOrder="0" shrinkToFit="0" vertical="top" wrapText="1"/>
    </xf>
    <xf borderId="4" fillId="5" fontId="11" numFmtId="1" xfId="0" applyAlignment="1" applyBorder="1" applyFont="1" applyNumberFormat="1">
      <alignment readingOrder="0" shrinkToFit="0" wrapText="1"/>
    </xf>
    <xf borderId="4" fillId="0" fontId="11" numFmtId="1" xfId="0" applyAlignment="1" applyBorder="1" applyFont="1" applyNumberFormat="1">
      <alignment readingOrder="0" shrinkToFit="0" wrapText="1"/>
    </xf>
    <xf borderId="4" fillId="5" fontId="11" numFmtId="164" xfId="0" applyAlignment="1" applyBorder="1" applyFont="1" applyNumberFormat="1">
      <alignment readingOrder="0" shrinkToFit="0" wrapText="1"/>
    </xf>
    <xf borderId="4" fillId="5" fontId="11" numFmtId="2" xfId="0" applyAlignment="1" applyBorder="1" applyFont="1" applyNumberFormat="1">
      <alignment readingOrder="0" shrinkToFit="0" wrapText="1"/>
    </xf>
    <xf borderId="4" fillId="6" fontId="11" numFmtId="1" xfId="0" applyAlignment="1" applyBorder="1" applyFont="1" applyNumberFormat="1">
      <alignment horizontal="right" shrinkToFit="0" vertical="bottom" wrapText="1"/>
    </xf>
    <xf borderId="4" fillId="6" fontId="11" numFmtId="2" xfId="0" applyAlignment="1" applyBorder="1" applyFont="1" applyNumberFormat="1">
      <alignment horizontal="right" shrinkToFit="0" vertical="bottom" wrapText="1"/>
    </xf>
    <xf borderId="1" fillId="7" fontId="8" numFmtId="0" xfId="0" applyAlignment="1" applyBorder="1" applyFont="1">
      <alignment horizontal="center" readingOrder="0" shrinkToFit="0" wrapText="1"/>
    </xf>
    <xf borderId="4" fillId="8" fontId="9" numFmtId="0" xfId="0" applyAlignment="1" applyBorder="1" applyFont="1">
      <alignment horizontal="center" readingOrder="0" shrinkToFit="0" wrapText="1"/>
    </xf>
    <xf borderId="4" fillId="8" fontId="9" numFmtId="0" xfId="0" applyAlignment="1" applyBorder="1" applyFont="1">
      <alignment horizontal="center" readingOrder="0" shrinkToFit="0" vertical="top" wrapText="1"/>
    </xf>
    <xf borderId="4" fillId="8" fontId="9" numFmtId="0" xfId="0" applyAlignment="1" applyBorder="1" applyFont="1">
      <alignment horizontal="center" readingOrder="0" shrinkToFit="0" vertical="top" wrapText="1"/>
    </xf>
    <xf borderId="4" fillId="0" fontId="11" numFmtId="164" xfId="0" applyAlignment="1" applyBorder="1" applyFont="1" applyNumberFormat="1">
      <alignment readingOrder="0" shrinkToFit="0" wrapText="1"/>
    </xf>
    <xf borderId="4" fillId="0" fontId="11" numFmtId="2" xfId="0" applyAlignment="1" applyBorder="1" applyFont="1" applyNumberFormat="1">
      <alignment readingOrder="0" shrinkToFit="0" wrapText="1"/>
    </xf>
    <xf borderId="4" fillId="0" fontId="11" numFmtId="1" xfId="0" applyAlignment="1" applyBorder="1" applyFont="1" applyNumberFormat="1">
      <alignment horizontal="right" shrinkToFit="0" vertical="bottom" wrapText="1"/>
    </xf>
    <xf borderId="4" fillId="0" fontId="11" numFmtId="2" xfId="0" applyAlignment="1" applyBorder="1" applyFont="1" applyNumberFormat="1">
      <alignment horizontal="right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28.71"/>
    <col customWidth="1" min="6" max="26" width="8.71"/>
  </cols>
  <sheetData>
    <row r="1">
      <c r="A1" s="1" t="s">
        <v>0</v>
      </c>
      <c r="B1" s="2"/>
      <c r="C1" s="2"/>
      <c r="D1" s="2"/>
      <c r="E1" s="3"/>
    </row>
    <row r="2">
      <c r="A2" s="4"/>
      <c r="B2" s="5" t="s">
        <v>1</v>
      </c>
      <c r="C2" s="6" t="s">
        <v>2</v>
      </c>
      <c r="D2" s="7" t="s">
        <v>3</v>
      </c>
      <c r="E2" s="7" t="s">
        <v>4</v>
      </c>
    </row>
    <row r="3">
      <c r="A3" s="8" t="s">
        <v>5</v>
      </c>
      <c r="B3" s="4" t="s">
        <v>6</v>
      </c>
      <c r="C3" s="9">
        <v>25.59600628930818</v>
      </c>
      <c r="D3" s="10">
        <v>0.3912686351706037</v>
      </c>
      <c r="E3" s="11">
        <v>7.205855548596664</v>
      </c>
    </row>
    <row r="4">
      <c r="A4" s="12"/>
      <c r="B4" s="4" t="s">
        <v>7</v>
      </c>
      <c r="C4" s="9">
        <v>24.837893081761</v>
      </c>
      <c r="D4" s="10">
        <v>0.3007217847769029</v>
      </c>
      <c r="E4" s="11">
        <v>-3.006386288450249</v>
      </c>
    </row>
    <row r="5">
      <c r="A5" s="12"/>
      <c r="B5" s="4" t="s">
        <v>8</v>
      </c>
      <c r="C5" s="9">
        <v>29.57239779874214</v>
      </c>
      <c r="D5" s="10">
        <v>0.2692257217847769</v>
      </c>
      <c r="E5" s="11">
        <v>-1.461305554036907</v>
      </c>
    </row>
    <row r="6">
      <c r="A6" s="12"/>
      <c r="B6" s="4" t="s">
        <v>9</v>
      </c>
      <c r="C6" s="9">
        <v>15.49314465408805</v>
      </c>
      <c r="D6" s="10">
        <v>0.3453455380577428</v>
      </c>
      <c r="E6" s="10">
        <v>0.760701415171075</v>
      </c>
    </row>
    <row r="7">
      <c r="A7" s="12"/>
      <c r="B7" s="4" t="s">
        <v>10</v>
      </c>
      <c r="C7" s="9">
        <v>27.83899371069182</v>
      </c>
      <c r="D7" s="10">
        <v>0.2547988188976378</v>
      </c>
      <c r="E7" s="11">
        <v>-1.32235896726045</v>
      </c>
    </row>
    <row r="8">
      <c r="A8" s="12"/>
      <c r="B8" s="13" t="s">
        <v>11</v>
      </c>
      <c r="C8" s="14">
        <v>24.66768710691824</v>
      </c>
      <c r="D8" s="15">
        <v>0.3122720997375328</v>
      </c>
      <c r="E8" s="15">
        <v>0.4353012308040267</v>
      </c>
    </row>
    <row r="9">
      <c r="A9" s="12"/>
      <c r="B9" s="16" t="s">
        <v>12</v>
      </c>
      <c r="C9" s="17">
        <f t="shared" ref="C9:E9" si="1">STDEV(C3:C7)</f>
        <v>5.458396018</v>
      </c>
      <c r="D9" s="18">
        <f t="shared" si="1"/>
        <v>0.05617802812</v>
      </c>
      <c r="E9" s="17">
        <f t="shared" si="1"/>
        <v>4.014909423</v>
      </c>
    </row>
    <row r="10">
      <c r="A10" s="19"/>
      <c r="B10" s="16" t="s">
        <v>13</v>
      </c>
      <c r="C10" s="17">
        <f t="shared" ref="C10:E10" si="2">C9/SQRT(5)</f>
        <v>2.441068909</v>
      </c>
      <c r="D10" s="18">
        <f t="shared" si="2"/>
        <v>0.02512357794</v>
      </c>
      <c r="E10" s="17">
        <f t="shared" si="2"/>
        <v>1.795522079</v>
      </c>
    </row>
    <row r="11">
      <c r="A11" s="8" t="s">
        <v>14</v>
      </c>
      <c r="B11" s="20" t="s">
        <v>15</v>
      </c>
      <c r="C11" s="21">
        <v>45.41130503144654</v>
      </c>
      <c r="D11" s="22">
        <v>0.2009885826771654</v>
      </c>
      <c r="E11" s="23">
        <v>4.537759672978103</v>
      </c>
    </row>
    <row r="12">
      <c r="A12" s="12"/>
      <c r="B12" s="20" t="s">
        <v>16</v>
      </c>
      <c r="C12" s="21">
        <v>44.67586477987422</v>
      </c>
      <c r="D12" s="22">
        <v>0.2029702099737533</v>
      </c>
      <c r="E12" s="23">
        <v>3.224631408617821</v>
      </c>
    </row>
    <row r="13">
      <c r="A13" s="12"/>
      <c r="B13" s="20" t="s">
        <v>17</v>
      </c>
      <c r="C13" s="21">
        <v>44.48430817610063</v>
      </c>
      <c r="D13" s="22">
        <v>0.2035958005249344</v>
      </c>
      <c r="E13" s="23">
        <v>1.599416853557996</v>
      </c>
    </row>
    <row r="14">
      <c r="A14" s="12"/>
      <c r="B14" s="20" t="s">
        <v>18</v>
      </c>
      <c r="C14" s="21">
        <v>45.5185141509434</v>
      </c>
      <c r="D14" s="22">
        <v>0.2239807086614173</v>
      </c>
      <c r="E14" s="23">
        <v>3.874228929567865</v>
      </c>
    </row>
    <row r="15">
      <c r="A15" s="12"/>
      <c r="B15" s="20" t="s">
        <v>19</v>
      </c>
      <c r="C15" s="21">
        <v>40.84617924528302</v>
      </c>
      <c r="D15" s="22">
        <v>0.2548250656167979</v>
      </c>
      <c r="E15" s="23">
        <v>1.256585764186017</v>
      </c>
    </row>
    <row r="16">
      <c r="A16" s="12"/>
      <c r="B16" s="16" t="s">
        <v>11</v>
      </c>
      <c r="C16" s="24">
        <v>44.18723427672956</v>
      </c>
      <c r="D16" s="25">
        <v>0.2172720734908136</v>
      </c>
      <c r="E16" s="26">
        <v>2.89852452578156</v>
      </c>
    </row>
    <row r="17">
      <c r="A17" s="12"/>
      <c r="B17" s="16" t="s">
        <v>12</v>
      </c>
      <c r="C17" s="17">
        <f t="shared" ref="C17:E17" si="3">STDEV(C11:C15)</f>
        <v>1.92095788</v>
      </c>
      <c r="D17" s="18">
        <f t="shared" si="3"/>
        <v>0.02297808096</v>
      </c>
      <c r="E17" s="17">
        <f t="shared" si="3"/>
        <v>1.425577102</v>
      </c>
    </row>
    <row r="18">
      <c r="A18" s="19"/>
      <c r="B18" s="16" t="s">
        <v>13</v>
      </c>
      <c r="C18" s="15">
        <f t="shared" ref="C18:E18" si="4">C17/SQRT(5)</f>
        <v>0.8590784804</v>
      </c>
      <c r="D18" s="18">
        <f t="shared" si="4"/>
        <v>0.0102761102</v>
      </c>
      <c r="E18" s="15">
        <f t="shared" si="4"/>
        <v>0.6375374613</v>
      </c>
    </row>
    <row r="19">
      <c r="A19" s="8" t="s">
        <v>20</v>
      </c>
      <c r="B19" s="27" t="s">
        <v>21</v>
      </c>
      <c r="C19" s="21">
        <v>44.10050314465408</v>
      </c>
      <c r="D19" s="22">
        <v>0.203639501312336</v>
      </c>
      <c r="E19" s="23">
        <v>1.568819356241743</v>
      </c>
    </row>
    <row r="20">
      <c r="A20" s="12"/>
      <c r="B20" s="27" t="s">
        <v>22</v>
      </c>
      <c r="C20" s="21">
        <v>44.63481918238994</v>
      </c>
      <c r="D20" s="22">
        <v>0.1695275590551181</v>
      </c>
      <c r="E20" s="23">
        <v>2.652379732864276</v>
      </c>
    </row>
    <row r="21">
      <c r="A21" s="12"/>
      <c r="B21" s="27" t="s">
        <v>23</v>
      </c>
      <c r="C21" s="21">
        <v>46.24327044025156</v>
      </c>
      <c r="D21" s="22">
        <v>0.1957742782152231</v>
      </c>
      <c r="E21" s="23">
        <v>2.663094079289813</v>
      </c>
    </row>
    <row r="22">
      <c r="A22" s="12"/>
      <c r="B22" s="27" t="s">
        <v>24</v>
      </c>
      <c r="C22" s="21">
        <v>42.44013364779874</v>
      </c>
      <c r="D22" s="22">
        <v>0.2226290026246719</v>
      </c>
      <c r="E22" s="23">
        <v>2.432395615438257</v>
      </c>
    </row>
    <row r="23">
      <c r="A23" s="12"/>
      <c r="B23" s="27" t="s">
        <v>25</v>
      </c>
      <c r="C23" s="21">
        <v>45.72988207547169</v>
      </c>
      <c r="D23" s="22">
        <v>0.2115485564304462</v>
      </c>
      <c r="E23" s="23">
        <v>4.717520970334802</v>
      </c>
    </row>
    <row r="24">
      <c r="A24" s="12"/>
      <c r="B24" s="28" t="s">
        <v>11</v>
      </c>
      <c r="C24" s="24">
        <v>44.62972169811321</v>
      </c>
      <c r="D24" s="25">
        <v>0.200623779527559</v>
      </c>
      <c r="E24" s="26">
        <v>2.806841950833779</v>
      </c>
    </row>
    <row r="25">
      <c r="A25" s="12"/>
      <c r="B25" s="16" t="s">
        <v>12</v>
      </c>
      <c r="C25" s="17">
        <f t="shared" ref="C25:E25" si="5">STDEV(C19:C23)</f>
        <v>1.490661472</v>
      </c>
      <c r="D25" s="18">
        <f t="shared" si="5"/>
        <v>0.02001978873</v>
      </c>
      <c r="E25" s="17">
        <f t="shared" si="5"/>
        <v>1.15846087</v>
      </c>
    </row>
    <row r="26">
      <c r="A26" s="19"/>
      <c r="B26" s="16" t="s">
        <v>13</v>
      </c>
      <c r="C26" s="15">
        <f t="shared" ref="C26:E26" si="6">C25/SQRT(5)</f>
        <v>0.6666440764</v>
      </c>
      <c r="D26" s="29">
        <f t="shared" si="6"/>
        <v>0.008953121697</v>
      </c>
      <c r="E26" s="15">
        <f t="shared" si="6"/>
        <v>0.5180794507</v>
      </c>
    </row>
    <row r="27" ht="15.75" customHeight="1">
      <c r="A27" s="8" t="s">
        <v>26</v>
      </c>
      <c r="B27" s="27" t="s">
        <v>27</v>
      </c>
      <c r="C27" s="21">
        <v>42.26562893081761</v>
      </c>
      <c r="D27" s="22">
        <v>0.2114610236220472</v>
      </c>
      <c r="E27" s="23">
        <v>5.023597708253267</v>
      </c>
    </row>
    <row r="28" ht="15.75" customHeight="1">
      <c r="A28" s="12"/>
      <c r="B28" s="27" t="s">
        <v>28</v>
      </c>
      <c r="C28" s="21">
        <v>44.8802358490566</v>
      </c>
      <c r="D28" s="22">
        <v>0.2161023622047244</v>
      </c>
      <c r="E28" s="23">
        <v>2.651337938498566</v>
      </c>
    </row>
    <row r="29" ht="15.75" customHeight="1">
      <c r="A29" s="12"/>
      <c r="B29" s="27" t="s">
        <v>29</v>
      </c>
      <c r="C29" s="21">
        <v>43.31245283018868</v>
      </c>
      <c r="D29" s="22">
        <v>0.2351531496062992</v>
      </c>
      <c r="E29" s="23">
        <v>5.141330712371385</v>
      </c>
    </row>
    <row r="30" ht="15.75" customHeight="1">
      <c r="A30" s="12"/>
      <c r="B30" s="27" t="s">
        <v>30</v>
      </c>
      <c r="C30" s="21">
        <v>42.03745283018868</v>
      </c>
      <c r="D30" s="22">
        <v>0.2206912073490814</v>
      </c>
      <c r="E30" s="30">
        <v>0.0634673622260192</v>
      </c>
    </row>
    <row r="31" ht="15.75" customHeight="1">
      <c r="A31" s="12"/>
      <c r="B31" s="27" t="s">
        <v>31</v>
      </c>
      <c r="C31" s="21">
        <v>41.60454402515723</v>
      </c>
      <c r="D31" s="22">
        <v>0.1957654855643045</v>
      </c>
      <c r="E31" s="23">
        <v>5.16250521174507</v>
      </c>
    </row>
    <row r="32" ht="15.75" customHeight="1">
      <c r="A32" s="12"/>
      <c r="B32" s="28" t="s">
        <v>11</v>
      </c>
      <c r="C32" s="24">
        <v>42.82006289308175</v>
      </c>
      <c r="D32" s="25">
        <v>0.2158346456692914</v>
      </c>
      <c r="E32" s="26">
        <v>3.608447786618862</v>
      </c>
    </row>
    <row r="33" ht="15.75" customHeight="1">
      <c r="A33" s="12"/>
      <c r="B33" s="16" t="s">
        <v>12</v>
      </c>
      <c r="C33" s="17">
        <f t="shared" ref="C33:E33" si="7">STDEV(C27:C31)</f>
        <v>1.311880531</v>
      </c>
      <c r="D33" s="18">
        <f t="shared" si="7"/>
        <v>0.01430701065</v>
      </c>
      <c r="E33" s="17">
        <f t="shared" si="7"/>
        <v>2.250023295</v>
      </c>
    </row>
    <row r="34" ht="15.75" customHeight="1">
      <c r="A34" s="19"/>
      <c r="B34" s="16" t="s">
        <v>13</v>
      </c>
      <c r="C34" s="15">
        <f t="shared" ref="C34:E34" si="8">C33/SQRT(5)</f>
        <v>0.5866908089</v>
      </c>
      <c r="D34" s="29">
        <f t="shared" si="8"/>
        <v>0.006398289674</v>
      </c>
      <c r="E34" s="17">
        <f t="shared" si="8"/>
        <v>1.006241008</v>
      </c>
    </row>
    <row r="35" ht="15.75" customHeight="1"/>
    <row r="36" ht="15.75" customHeight="1">
      <c r="A36" s="31" t="s">
        <v>32</v>
      </c>
      <c r="B36" s="2"/>
      <c r="C36" s="2"/>
      <c r="D36" s="2"/>
      <c r="E36" s="3"/>
    </row>
    <row r="37" ht="15.75" customHeight="1">
      <c r="A37" s="27"/>
      <c r="B37" s="32" t="s">
        <v>1</v>
      </c>
      <c r="C37" s="7" t="s">
        <v>2</v>
      </c>
      <c r="D37" s="7" t="s">
        <v>3</v>
      </c>
      <c r="E37" s="7" t="s">
        <v>4</v>
      </c>
    </row>
    <row r="38" ht="15.75" customHeight="1">
      <c r="A38" s="33" t="s">
        <v>5</v>
      </c>
      <c r="B38" s="27" t="s">
        <v>33</v>
      </c>
      <c r="C38" s="21">
        <v>34.3726965408805</v>
      </c>
      <c r="D38" s="22">
        <v>0.2902230971128609</v>
      </c>
      <c r="E38" s="23">
        <v>5.032416490403876</v>
      </c>
    </row>
    <row r="39" ht="15.75" customHeight="1">
      <c r="A39" s="12"/>
      <c r="B39" s="27" t="s">
        <v>34</v>
      </c>
      <c r="C39" s="21">
        <v>36.16302672955975</v>
      </c>
      <c r="D39" s="22">
        <v>0.3676421259842519</v>
      </c>
      <c r="E39" s="23">
        <v>4.64246303169838</v>
      </c>
    </row>
    <row r="40" ht="15.75" customHeight="1">
      <c r="A40" s="12"/>
      <c r="B40" s="27" t="s">
        <v>35</v>
      </c>
      <c r="C40" s="21">
        <v>34.16839622641509</v>
      </c>
      <c r="D40" s="22">
        <v>0.3197681102362205</v>
      </c>
      <c r="E40" s="23">
        <v>2.982468127707972</v>
      </c>
    </row>
    <row r="41" ht="15.75" customHeight="1">
      <c r="A41" s="12"/>
      <c r="B41" s="27" t="s">
        <v>36</v>
      </c>
      <c r="C41" s="21">
        <v>30.35969339622641</v>
      </c>
      <c r="D41" s="22">
        <v>0.2967935695538058</v>
      </c>
      <c r="E41" s="23">
        <v>2.854582538433345</v>
      </c>
    </row>
    <row r="42" ht="15.75" customHeight="1">
      <c r="A42" s="12"/>
      <c r="B42" s="27" t="s">
        <v>37</v>
      </c>
      <c r="C42" s="21">
        <v>26.65608490566038</v>
      </c>
      <c r="D42" s="22">
        <v>0.1544225721784777</v>
      </c>
      <c r="E42" s="23">
        <v>4.866514010242993</v>
      </c>
    </row>
    <row r="43" ht="15.75" customHeight="1">
      <c r="A43" s="12"/>
      <c r="B43" s="28" t="s">
        <v>11</v>
      </c>
      <c r="C43" s="24">
        <v>32.34397955974843</v>
      </c>
      <c r="D43" s="25">
        <v>0.2857698950131234</v>
      </c>
      <c r="E43" s="26">
        <v>4.075688839697312</v>
      </c>
    </row>
    <row r="44" ht="15.75" customHeight="1">
      <c r="A44" s="12"/>
      <c r="B44" s="16" t="s">
        <v>12</v>
      </c>
      <c r="C44" s="17">
        <f t="shared" ref="C44:E44" si="9">STDEV(C38:C42)</f>
        <v>3.81833888</v>
      </c>
      <c r="D44" s="18">
        <f t="shared" si="9"/>
        <v>0.07945503834</v>
      </c>
      <c r="E44" s="17">
        <f t="shared" si="9"/>
        <v>1.066325156</v>
      </c>
    </row>
    <row r="45" ht="15.75" customHeight="1">
      <c r="A45" s="19"/>
      <c r="B45" s="16" t="s">
        <v>13</v>
      </c>
      <c r="C45" s="17">
        <f t="shared" ref="C45:E45" si="10">C44/SQRT(5)</f>
        <v>1.70761306</v>
      </c>
      <c r="D45" s="18">
        <f t="shared" si="10"/>
        <v>0.03553337337</v>
      </c>
      <c r="E45" s="15">
        <f t="shared" si="10"/>
        <v>0.4768751072</v>
      </c>
    </row>
    <row r="46" ht="15.75" customHeight="1">
      <c r="A46" s="33" t="s">
        <v>14</v>
      </c>
      <c r="B46" s="27" t="s">
        <v>38</v>
      </c>
      <c r="C46" s="21">
        <v>65.57941823899371</v>
      </c>
      <c r="D46" s="22">
        <v>0.4404767716535433</v>
      </c>
      <c r="E46" s="23">
        <v>3.600807740501963</v>
      </c>
    </row>
    <row r="47" ht="15.75" customHeight="1">
      <c r="A47" s="12"/>
      <c r="B47" s="27" t="s">
        <v>39</v>
      </c>
      <c r="C47" s="21">
        <v>64.08336477987422</v>
      </c>
      <c r="D47" s="22">
        <v>0.4431715223097113</v>
      </c>
      <c r="E47" s="23">
        <v>5.808112014513473</v>
      </c>
    </row>
    <row r="48" ht="15.75" customHeight="1">
      <c r="A48" s="12"/>
      <c r="B48" s="27" t="s">
        <v>40</v>
      </c>
      <c r="C48" s="21">
        <v>65.82595911949686</v>
      </c>
      <c r="D48" s="22">
        <v>0.424116404199475</v>
      </c>
      <c r="E48" s="23">
        <v>3.203070131239091</v>
      </c>
    </row>
    <row r="49" ht="15.75" customHeight="1">
      <c r="A49" s="12"/>
      <c r="B49" s="27" t="s">
        <v>41</v>
      </c>
      <c r="C49" s="21">
        <v>65.43334119496855</v>
      </c>
      <c r="D49" s="22">
        <v>0.3866929133858268</v>
      </c>
      <c r="E49" s="23">
        <v>4.928185852506838</v>
      </c>
    </row>
    <row r="50" ht="15.75" customHeight="1">
      <c r="A50" s="12"/>
      <c r="B50" s="27" t="s">
        <v>42</v>
      </c>
      <c r="C50" s="21">
        <v>61.02684748427672</v>
      </c>
      <c r="D50" s="22">
        <v>0.3250393700787401</v>
      </c>
      <c r="E50" s="23">
        <v>3.080736198360689</v>
      </c>
    </row>
    <row r="51" ht="15.75" customHeight="1">
      <c r="A51" s="12"/>
      <c r="B51" s="28" t="s">
        <v>11</v>
      </c>
      <c r="C51" s="24">
        <v>64.38978616352202</v>
      </c>
      <c r="D51" s="25">
        <v>0.4038993963254593</v>
      </c>
      <c r="E51" s="26">
        <v>4.124182387424411</v>
      </c>
    </row>
    <row r="52" ht="15.75" customHeight="1">
      <c r="A52" s="12"/>
      <c r="B52" s="16" t="s">
        <v>12</v>
      </c>
      <c r="C52" s="17">
        <f t="shared" ref="C52:E52" si="11">STDEV(C46:C50)</f>
        <v>1.99812881</v>
      </c>
      <c r="D52" s="18">
        <f t="shared" si="11"/>
        <v>0.04950731882</v>
      </c>
      <c r="E52" s="17">
        <f t="shared" si="11"/>
        <v>1.193020255</v>
      </c>
    </row>
    <row r="53" ht="15.75" customHeight="1">
      <c r="A53" s="19"/>
      <c r="B53" s="16" t="s">
        <v>13</v>
      </c>
      <c r="C53" s="15">
        <f t="shared" ref="C53:E53" si="12">C52/SQRT(5)</f>
        <v>0.8935903693</v>
      </c>
      <c r="D53" s="18">
        <f t="shared" si="12"/>
        <v>0.02214034605</v>
      </c>
      <c r="E53" s="15">
        <f t="shared" si="12"/>
        <v>0.533534878</v>
      </c>
    </row>
    <row r="54" ht="15.75" customHeight="1">
      <c r="A54" s="33" t="s">
        <v>20</v>
      </c>
      <c r="B54" s="27" t="s">
        <v>43</v>
      </c>
      <c r="C54" s="21">
        <v>65.86469339622641</v>
      </c>
      <c r="D54" s="22">
        <v>0.4234164041994751</v>
      </c>
      <c r="E54" s="23">
        <v>3.054814016183844</v>
      </c>
    </row>
    <row r="55" ht="15.75" customHeight="1">
      <c r="A55" s="12"/>
      <c r="B55" s="27" t="s">
        <v>44</v>
      </c>
      <c r="C55" s="21">
        <v>63.97477987421383</v>
      </c>
      <c r="D55" s="22">
        <v>0.4306692913385827</v>
      </c>
      <c r="E55" s="23">
        <v>5.155019165290358</v>
      </c>
    </row>
    <row r="56" ht="15.75" customHeight="1">
      <c r="A56" s="12"/>
      <c r="B56" s="27" t="s">
        <v>45</v>
      </c>
      <c r="C56" s="21">
        <v>64.03787735849056</v>
      </c>
      <c r="D56" s="22">
        <v>0.4057217847769029</v>
      </c>
      <c r="E56" s="23">
        <v>4.991450488708505</v>
      </c>
    </row>
    <row r="57" ht="15.75" customHeight="1">
      <c r="A57" s="12"/>
      <c r="B57" s="27" t="s">
        <v>46</v>
      </c>
      <c r="C57" s="21">
        <v>62.76569182389937</v>
      </c>
      <c r="D57" s="22">
        <v>0.3965748031496063</v>
      </c>
      <c r="E57" s="23">
        <v>4.877116227988985</v>
      </c>
    </row>
    <row r="58" ht="15.75" customHeight="1">
      <c r="A58" s="12"/>
      <c r="B58" s="27" t="s">
        <v>47</v>
      </c>
      <c r="C58" s="21">
        <v>63.36017295597485</v>
      </c>
      <c r="D58" s="22">
        <v>0.3736439632545931</v>
      </c>
      <c r="E58" s="23">
        <v>6.579803366559984</v>
      </c>
    </row>
    <row r="59" ht="15.75" customHeight="1">
      <c r="A59" s="12"/>
      <c r="B59" s="28" t="s">
        <v>11</v>
      </c>
      <c r="C59" s="24">
        <v>60.21346829140461</v>
      </c>
      <c r="D59" s="25">
        <v>0.3908646762904637</v>
      </c>
      <c r="E59" s="26">
        <v>5.078631019529202</v>
      </c>
    </row>
    <row r="60" ht="15.75" customHeight="1">
      <c r="A60" s="12"/>
      <c r="B60" s="16" t="s">
        <v>12</v>
      </c>
      <c r="C60" s="17">
        <f t="shared" ref="C60:E60" si="13">STDEV(C54:C58)</f>
        <v>1.163190167</v>
      </c>
      <c r="D60" s="18">
        <f t="shared" si="13"/>
        <v>0.02262592421</v>
      </c>
      <c r="E60" s="17">
        <f t="shared" si="13"/>
        <v>1.254528462</v>
      </c>
    </row>
    <row r="61" ht="15.75" customHeight="1">
      <c r="A61" s="19"/>
      <c r="B61" s="16" t="s">
        <v>13</v>
      </c>
      <c r="C61" s="15">
        <f t="shared" ref="C61:E61" si="14">C60/SQRT(5)</f>
        <v>0.5201944571</v>
      </c>
      <c r="D61" s="18">
        <f t="shared" si="14"/>
        <v>0.01011862092</v>
      </c>
      <c r="E61" s="15">
        <f t="shared" si="14"/>
        <v>0.561042184</v>
      </c>
    </row>
    <row r="62" ht="15.75" customHeight="1">
      <c r="A62" s="33" t="s">
        <v>26</v>
      </c>
      <c r="B62" s="27" t="s">
        <v>48</v>
      </c>
      <c r="C62" s="21">
        <v>65.92360849056604</v>
      </c>
      <c r="D62" s="22">
        <v>0.3059754593175853</v>
      </c>
      <c r="E62" s="23">
        <v>3.697534769664846</v>
      </c>
    </row>
    <row r="63" ht="15.75" customHeight="1">
      <c r="A63" s="12"/>
      <c r="B63" s="27" t="s">
        <v>49</v>
      </c>
      <c r="C63" s="21">
        <v>66.00014937106917</v>
      </c>
      <c r="D63" s="22">
        <v>0.434588845144357</v>
      </c>
      <c r="E63" s="23">
        <v>2.459310735837438</v>
      </c>
    </row>
    <row r="64" ht="15.75" customHeight="1">
      <c r="A64" s="12"/>
      <c r="B64" s="27" t="s">
        <v>50</v>
      </c>
      <c r="C64" s="21">
        <v>61.51080974842767</v>
      </c>
      <c r="D64" s="22">
        <v>0.2777996062992126</v>
      </c>
      <c r="E64" s="23">
        <v>4.405890364541231</v>
      </c>
    </row>
    <row r="65" ht="15.75" customHeight="1">
      <c r="A65" s="12"/>
      <c r="B65" s="27" t="s">
        <v>51</v>
      </c>
      <c r="C65" s="21">
        <v>62.8735927672956</v>
      </c>
      <c r="D65" s="22">
        <v>0.3316535433070866</v>
      </c>
      <c r="E65" s="23">
        <v>3.678961333767496</v>
      </c>
    </row>
    <row r="66" ht="15.75" customHeight="1">
      <c r="A66" s="12"/>
      <c r="B66" s="27" t="s">
        <v>52</v>
      </c>
      <c r="C66" s="21">
        <v>64.1476572327044</v>
      </c>
      <c r="D66" s="22">
        <v>0.3348950131233596</v>
      </c>
      <c r="E66" s="23">
        <v>3.614817323890666</v>
      </c>
    </row>
    <row r="67" ht="15.75" customHeight="1">
      <c r="A67" s="12"/>
      <c r="B67" s="28" t="s">
        <v>11</v>
      </c>
      <c r="C67" s="24">
        <v>64.09116352201258</v>
      </c>
      <c r="D67" s="25">
        <v>0.3369824934383202</v>
      </c>
      <c r="E67" s="26">
        <v>3.571302905540335</v>
      </c>
    </row>
    <row r="68" ht="15.75" customHeight="1">
      <c r="A68" s="12"/>
      <c r="B68" s="16" t="s">
        <v>12</v>
      </c>
      <c r="C68" s="17">
        <f t="shared" ref="C68:E68" si="15">STDEV(C62:C66)</f>
        <v>1.945891647</v>
      </c>
      <c r="D68" s="18">
        <f t="shared" si="15"/>
        <v>0.05921107471</v>
      </c>
      <c r="E68" s="15">
        <f t="shared" si="15"/>
        <v>0.7004429201</v>
      </c>
    </row>
    <row r="69" ht="15.75" customHeight="1">
      <c r="A69" s="19"/>
      <c r="B69" s="16" t="s">
        <v>13</v>
      </c>
      <c r="C69" s="15">
        <f t="shared" ref="C69:E69" si="16">C68/SQRT(5)</f>
        <v>0.8702292001</v>
      </c>
      <c r="D69" s="18">
        <f t="shared" si="16"/>
        <v>0.02647999761</v>
      </c>
      <c r="E69" s="15">
        <f t="shared" si="16"/>
        <v>0.3132475968</v>
      </c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10">
    <mergeCell ref="A46:A53"/>
    <mergeCell ref="A54:A61"/>
    <mergeCell ref="A62:A69"/>
    <mergeCell ref="A1:E1"/>
    <mergeCell ref="A3:A10"/>
    <mergeCell ref="A11:A18"/>
    <mergeCell ref="A19:A26"/>
    <mergeCell ref="A27:A34"/>
    <mergeCell ref="A36:E36"/>
    <mergeCell ref="A38:A45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86"/>
    <col customWidth="1" min="2" max="2" width="21.57"/>
    <col customWidth="1" min="3" max="3" width="28.71"/>
    <col customWidth="1" min="4" max="4" width="18.0"/>
    <col customWidth="1" min="5" max="5" width="28.71"/>
    <col customWidth="1" min="6" max="26" width="8.71"/>
  </cols>
  <sheetData>
    <row r="1">
      <c r="A1" s="34" t="s">
        <v>53</v>
      </c>
      <c r="B1" s="2"/>
      <c r="C1" s="2"/>
      <c r="D1" s="2"/>
      <c r="E1" s="3"/>
    </row>
    <row r="2">
      <c r="A2" s="35" t="s">
        <v>54</v>
      </c>
      <c r="B2" s="35" t="s">
        <v>55</v>
      </c>
      <c r="C2" s="35" t="s">
        <v>2</v>
      </c>
      <c r="D2" s="35" t="s">
        <v>3</v>
      </c>
      <c r="E2" s="35" t="s">
        <v>4</v>
      </c>
    </row>
    <row r="3">
      <c r="A3" s="36" t="s">
        <v>0</v>
      </c>
      <c r="B3" s="37" t="s">
        <v>5</v>
      </c>
      <c r="C3" s="38" t="s">
        <v>56</v>
      </c>
      <c r="D3" s="38" t="s">
        <v>57</v>
      </c>
      <c r="E3" s="38" t="s">
        <v>58</v>
      </c>
    </row>
    <row r="4">
      <c r="A4" s="12"/>
      <c r="B4" s="37" t="s">
        <v>14</v>
      </c>
      <c r="C4" s="39" t="s">
        <v>59</v>
      </c>
      <c r="D4" s="39" t="s">
        <v>60</v>
      </c>
      <c r="E4" s="39" t="s">
        <v>61</v>
      </c>
    </row>
    <row r="5">
      <c r="A5" s="12"/>
      <c r="B5" s="37" t="s">
        <v>20</v>
      </c>
      <c r="C5" s="39" t="s">
        <v>62</v>
      </c>
      <c r="D5" s="39" t="s">
        <v>63</v>
      </c>
      <c r="E5" s="39" t="s">
        <v>64</v>
      </c>
    </row>
    <row r="6" ht="15.75" customHeight="1">
      <c r="A6" s="19"/>
      <c r="B6" s="37" t="s">
        <v>26</v>
      </c>
      <c r="C6" s="39" t="s">
        <v>65</v>
      </c>
      <c r="D6" s="39" t="s">
        <v>66</v>
      </c>
      <c r="E6" s="39" t="s">
        <v>67</v>
      </c>
    </row>
    <row r="7" ht="15.75" customHeight="1">
      <c r="A7" s="40" t="s">
        <v>32</v>
      </c>
      <c r="B7" s="41" t="s">
        <v>5</v>
      </c>
      <c r="C7" s="42" t="s">
        <v>68</v>
      </c>
      <c r="D7" s="42" t="s">
        <v>69</v>
      </c>
      <c r="E7" s="42" t="s">
        <v>70</v>
      </c>
    </row>
    <row r="8" ht="15.75" customHeight="1">
      <c r="A8" s="12"/>
      <c r="B8" s="41" t="s">
        <v>14</v>
      </c>
      <c r="C8" s="42" t="s">
        <v>71</v>
      </c>
      <c r="D8" s="42" t="s">
        <v>72</v>
      </c>
      <c r="E8" s="42" t="s">
        <v>73</v>
      </c>
    </row>
    <row r="9" ht="15.75" customHeight="1">
      <c r="A9" s="12"/>
      <c r="B9" s="41" t="s">
        <v>20</v>
      </c>
      <c r="C9" s="42" t="s">
        <v>74</v>
      </c>
      <c r="D9" s="42" t="s">
        <v>75</v>
      </c>
      <c r="E9" s="42" t="s">
        <v>76</v>
      </c>
    </row>
    <row r="10" ht="15.75" customHeight="1">
      <c r="A10" s="19"/>
      <c r="B10" s="41" t="s">
        <v>26</v>
      </c>
      <c r="C10" s="42" t="s">
        <v>77</v>
      </c>
      <c r="D10" s="42" t="s">
        <v>78</v>
      </c>
      <c r="E10" s="42" t="s">
        <v>79</v>
      </c>
    </row>
    <row r="11" ht="15.75" customHeight="1"/>
    <row r="12" ht="15.75" customHeight="1">
      <c r="A12" s="43" t="s">
        <v>53</v>
      </c>
      <c r="B12" s="2"/>
      <c r="C12" s="2"/>
      <c r="D12" s="2"/>
      <c r="E12" s="3"/>
    </row>
    <row r="13" ht="15.75" customHeight="1">
      <c r="A13" s="44" t="s">
        <v>54</v>
      </c>
      <c r="B13" s="44" t="s">
        <v>55</v>
      </c>
      <c r="C13" s="44" t="s">
        <v>2</v>
      </c>
      <c r="D13" s="44" t="s">
        <v>3</v>
      </c>
      <c r="E13" s="44" t="s">
        <v>4</v>
      </c>
    </row>
    <row r="14" ht="15.75" customHeight="1">
      <c r="A14" s="45" t="s">
        <v>0</v>
      </c>
      <c r="B14" s="46" t="s">
        <v>5</v>
      </c>
      <c r="C14" s="47" t="s">
        <v>56</v>
      </c>
      <c r="D14" s="47" t="s">
        <v>57</v>
      </c>
      <c r="E14" s="47" t="s">
        <v>58</v>
      </c>
    </row>
    <row r="15" ht="15.75" customHeight="1">
      <c r="A15" s="12"/>
      <c r="B15" s="46" t="s">
        <v>14</v>
      </c>
      <c r="C15" s="48" t="s">
        <v>59</v>
      </c>
      <c r="D15" s="48" t="s">
        <v>60</v>
      </c>
      <c r="E15" s="48" t="s">
        <v>61</v>
      </c>
    </row>
    <row r="16" ht="15.75" customHeight="1">
      <c r="A16" s="12"/>
      <c r="B16" s="46" t="s">
        <v>20</v>
      </c>
      <c r="C16" s="48" t="s">
        <v>62</v>
      </c>
      <c r="D16" s="48" t="s">
        <v>63</v>
      </c>
      <c r="E16" s="48" t="s">
        <v>64</v>
      </c>
    </row>
    <row r="17" ht="15.75" customHeight="1">
      <c r="A17" s="19"/>
      <c r="B17" s="46" t="s">
        <v>26</v>
      </c>
      <c r="C17" s="48" t="s">
        <v>65</v>
      </c>
      <c r="D17" s="48" t="s">
        <v>66</v>
      </c>
      <c r="E17" s="48" t="s">
        <v>67</v>
      </c>
    </row>
    <row r="18" ht="15.75" customHeight="1">
      <c r="A18" s="45" t="s">
        <v>32</v>
      </c>
      <c r="B18" s="46" t="s">
        <v>5</v>
      </c>
      <c r="C18" s="48" t="s">
        <v>68</v>
      </c>
      <c r="D18" s="48" t="s">
        <v>69</v>
      </c>
      <c r="E18" s="48" t="s">
        <v>70</v>
      </c>
    </row>
    <row r="19" ht="15.75" customHeight="1">
      <c r="A19" s="12"/>
      <c r="B19" s="46" t="s">
        <v>14</v>
      </c>
      <c r="C19" s="48" t="s">
        <v>71</v>
      </c>
      <c r="D19" s="48" t="s">
        <v>72</v>
      </c>
      <c r="E19" s="48" t="s">
        <v>73</v>
      </c>
    </row>
    <row r="20" ht="15.75" customHeight="1">
      <c r="A20" s="12"/>
      <c r="B20" s="46" t="s">
        <v>20</v>
      </c>
      <c r="C20" s="48" t="s">
        <v>74</v>
      </c>
      <c r="D20" s="48" t="s">
        <v>75</v>
      </c>
      <c r="E20" s="48" t="s">
        <v>76</v>
      </c>
    </row>
    <row r="21" ht="15.75" customHeight="1">
      <c r="A21" s="19"/>
      <c r="B21" s="46" t="s">
        <v>26</v>
      </c>
      <c r="C21" s="48" t="s">
        <v>77</v>
      </c>
      <c r="D21" s="48" t="s">
        <v>78</v>
      </c>
      <c r="E21" s="48" t="s">
        <v>79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</sheetData>
  <mergeCells count="6">
    <mergeCell ref="A1:E1"/>
    <mergeCell ref="A3:A6"/>
    <mergeCell ref="A7:A10"/>
    <mergeCell ref="A12:E12"/>
    <mergeCell ref="A14:A17"/>
    <mergeCell ref="A18:A21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86"/>
    <col customWidth="1" min="2" max="2" width="21.57"/>
    <col customWidth="1" min="3" max="3" width="28.71"/>
    <col customWidth="1" min="4" max="4" width="18.0"/>
    <col customWidth="1" min="5" max="5" width="28.71"/>
    <col customWidth="1" min="6" max="26" width="8.71"/>
  </cols>
  <sheetData>
    <row r="1">
      <c r="A1" s="49" t="s">
        <v>80</v>
      </c>
      <c r="B1" s="2"/>
      <c r="C1" s="2"/>
      <c r="D1" s="2"/>
      <c r="E1" s="3"/>
    </row>
    <row r="2">
      <c r="A2" s="50" t="s">
        <v>54</v>
      </c>
      <c r="B2" s="50" t="s">
        <v>55</v>
      </c>
      <c r="C2" s="51" t="s">
        <v>81</v>
      </c>
      <c r="D2" s="52" t="s">
        <v>82</v>
      </c>
      <c r="E2" s="51" t="s">
        <v>83</v>
      </c>
    </row>
    <row r="3">
      <c r="A3" s="36" t="s">
        <v>0</v>
      </c>
      <c r="B3" s="37" t="s">
        <v>5</v>
      </c>
      <c r="C3" s="53">
        <f>(Summary!C8-Summary!$C$32)/Summary!$C$32*100</f>
        <v>-42.39222122</v>
      </c>
      <c r="D3" s="53">
        <f>(Summary!D8-Summary!$D$32)/Summary!$D$32*100</f>
        <v>44.68117422</v>
      </c>
      <c r="E3" s="53">
        <f>(Summary!E8-Summary!$E$32)/Summary!$E$32*100</f>
        <v>-87.93660719</v>
      </c>
      <c r="H3" s="54"/>
    </row>
    <row r="4">
      <c r="A4" s="12"/>
      <c r="B4" s="37" t="s">
        <v>14</v>
      </c>
      <c r="C4" s="55">
        <f>(Summary!C16-Summary!$C$32)/Summary!$C$32*100</f>
        <v>3.192828995</v>
      </c>
      <c r="D4" s="56">
        <f>(Summary!D16-Summary!$D$32)/Summary!$D$32*100</f>
        <v>0.6659856749</v>
      </c>
      <c r="E4" s="53">
        <f>(Summary!E16-Summary!$E$32)/Summary!$E$32*100</f>
        <v>-19.6739236</v>
      </c>
    </row>
    <row r="5">
      <c r="A5" s="19"/>
      <c r="B5" s="37" t="s">
        <v>20</v>
      </c>
      <c r="C5" s="55">
        <f>(Summary!C24-Summary!$C$32)/Summary!$C$32*100</f>
        <v>4.226193711</v>
      </c>
      <c r="D5" s="55">
        <f>(Summary!D24-Summary!$D$32)/Summary!$D$32*100</f>
        <v>-7.047462697</v>
      </c>
      <c r="E5" s="53">
        <f>(Summary!E24-Summary!$E$32)/Summary!$E$32*100</f>
        <v>-22.21469959</v>
      </c>
    </row>
    <row r="6" ht="15.75" customHeight="1">
      <c r="A6" s="40" t="s">
        <v>32</v>
      </c>
      <c r="B6" s="41" t="s">
        <v>5</v>
      </c>
      <c r="C6" s="57">
        <f>(Summary!C43-Summary!$C$67)/(Summary!$C$67)*100</f>
        <v>-49.53441663</v>
      </c>
      <c r="D6" s="57">
        <f>(Summary!D43-Summary!$D$67)/(Summary!$D$67)*100</f>
        <v>-15.19740622</v>
      </c>
      <c r="E6" s="57">
        <f>(Summary!E43-Summary!$E$67)/(Summary!$E$67)*100</f>
        <v>14.12330311</v>
      </c>
    </row>
    <row r="7" ht="15.75" customHeight="1">
      <c r="A7" s="12"/>
      <c r="B7" s="41" t="s">
        <v>14</v>
      </c>
      <c r="C7" s="58">
        <f>(Summary!C51-Summary!$C$67)/(Summary!$C$67)*100</f>
        <v>0.4659341867</v>
      </c>
      <c r="D7" s="57">
        <f>(Summary!D51-Summary!$D$67)/(Summary!$D$67)*100</f>
        <v>19.85767931</v>
      </c>
      <c r="E7" s="57">
        <f>(Summary!E51-Summary!$E$67)/(Summary!$E$67)*100</f>
        <v>15.48117022</v>
      </c>
    </row>
    <row r="8" ht="15.75" customHeight="1">
      <c r="A8" s="19"/>
      <c r="B8" s="41" t="s">
        <v>20</v>
      </c>
      <c r="C8" s="58">
        <f>(Summary!C59-Summary!$C$67)/(Summary!$C$67)*100</f>
        <v>-6.050280596</v>
      </c>
      <c r="D8" s="57">
        <f>(Summary!D59-Summary!$D$67)/(Summary!$D$67)*100</f>
        <v>15.98960893</v>
      </c>
      <c r="E8" s="57">
        <f>(Summary!E59-Summary!$E$67)/(Summary!$E$67)*100</f>
        <v>42.20667229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</sheetData>
  <mergeCells count="3">
    <mergeCell ref="A1:E1"/>
    <mergeCell ref="A3:A5"/>
    <mergeCell ref="A6:A8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86"/>
    <col customWidth="1" min="2" max="2" width="21.57"/>
    <col customWidth="1" min="3" max="3" width="28.71"/>
    <col customWidth="1" min="4" max="4" width="18.0"/>
    <col customWidth="1" min="5" max="5" width="28.71"/>
    <col customWidth="1" min="6" max="26" width="8.71"/>
  </cols>
  <sheetData>
    <row r="1">
      <c r="A1" s="59" t="s">
        <v>80</v>
      </c>
      <c r="B1" s="2"/>
      <c r="C1" s="2"/>
      <c r="D1" s="2"/>
      <c r="E1" s="3"/>
    </row>
    <row r="2">
      <c r="A2" s="60" t="s">
        <v>54</v>
      </c>
      <c r="B2" s="60" t="s">
        <v>55</v>
      </c>
      <c r="C2" s="61" t="s">
        <v>81</v>
      </c>
      <c r="D2" s="62" t="s">
        <v>82</v>
      </c>
      <c r="E2" s="61" t="s">
        <v>83</v>
      </c>
    </row>
    <row r="3">
      <c r="A3" s="45" t="s">
        <v>0</v>
      </c>
      <c r="B3" s="46" t="s">
        <v>5</v>
      </c>
      <c r="C3" s="54">
        <f>(Summary!C8-Summary!$C$32)/Summary!$C$32*100</f>
        <v>-42.39222122</v>
      </c>
      <c r="D3" s="54">
        <f>(Summary!D8-Summary!$D$32)/Summary!$D$32*100</f>
        <v>44.68117422</v>
      </c>
      <c r="E3" s="54">
        <f>(Summary!E8-Summary!$E$32)/Summary!$E$32*100</f>
        <v>-87.93660719</v>
      </c>
      <c r="H3" s="54"/>
    </row>
    <row r="4">
      <c r="A4" s="12"/>
      <c r="B4" s="46" t="s">
        <v>14</v>
      </c>
      <c r="C4" s="63">
        <f>(Summary!C16-Summary!$C$32)/Summary!$C$32*100</f>
        <v>3.192828995</v>
      </c>
      <c r="D4" s="64">
        <f>(Summary!D16-Summary!$D$32)/Summary!$D$32*100</f>
        <v>0.6659856749</v>
      </c>
      <c r="E4" s="54">
        <f>(Summary!E16-Summary!$E$32)/Summary!$E$32*100</f>
        <v>-19.6739236</v>
      </c>
    </row>
    <row r="5">
      <c r="A5" s="19"/>
      <c r="B5" s="46" t="s">
        <v>20</v>
      </c>
      <c r="C5" s="63">
        <f>(Summary!C24-Summary!$C$32)/Summary!$C$32*100</f>
        <v>4.226193711</v>
      </c>
      <c r="D5" s="63">
        <f>(Summary!D24-Summary!$D$32)/Summary!$D$32*100</f>
        <v>-7.047462697</v>
      </c>
      <c r="E5" s="54">
        <f>(Summary!E24-Summary!$E$32)/Summary!$E$32*100</f>
        <v>-22.21469959</v>
      </c>
    </row>
    <row r="6" ht="15.75" customHeight="1">
      <c r="A6" s="45" t="s">
        <v>32</v>
      </c>
      <c r="B6" s="46" t="s">
        <v>5</v>
      </c>
      <c r="C6" s="65">
        <f>(Summary!C43-Summary!$C$67)/(Summary!$C$67)*100</f>
        <v>-49.53441663</v>
      </c>
      <c r="D6" s="65">
        <f>(Summary!D43-Summary!$D$67)/(Summary!$D$67)*100</f>
        <v>-15.19740622</v>
      </c>
      <c r="E6" s="65">
        <f>(Summary!E43-Summary!$E$67)/(Summary!$E$67)*100</f>
        <v>14.12330311</v>
      </c>
    </row>
    <row r="7" ht="15.75" customHeight="1">
      <c r="A7" s="12"/>
      <c r="B7" s="46" t="s">
        <v>14</v>
      </c>
      <c r="C7" s="66">
        <f>(Summary!C51-Summary!$C$67)/(Summary!$C$67)*100</f>
        <v>0.4659341867</v>
      </c>
      <c r="D7" s="65">
        <f>(Summary!D51-Summary!$D$67)/(Summary!$D$67)*100</f>
        <v>19.85767931</v>
      </c>
      <c r="E7" s="65">
        <f>(Summary!E51-Summary!$E$67)/(Summary!$E$67)*100</f>
        <v>15.48117022</v>
      </c>
    </row>
    <row r="8" ht="15.75" customHeight="1">
      <c r="A8" s="19"/>
      <c r="B8" s="46" t="s">
        <v>20</v>
      </c>
      <c r="C8" s="66">
        <f>(Summary!C59-Summary!$C$67)/(Summary!$C$67)*100</f>
        <v>-6.050280596</v>
      </c>
      <c r="D8" s="65">
        <f>(Summary!D59-Summary!$D$67)/(Summary!$D$67)*100</f>
        <v>15.98960893</v>
      </c>
      <c r="E8" s="65">
        <f>(Summary!E59-Summary!$E$67)/(Summary!$E$67)*100</f>
        <v>42.20667229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</sheetData>
  <mergeCells count="3">
    <mergeCell ref="A1:E1"/>
    <mergeCell ref="A3:A5"/>
    <mergeCell ref="A6:A8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2025-04-05T21:25:45Z</dcterms:created>
  <dc:creator>openpyxl</dc:creator>
</cp:coreProperties>
</file>