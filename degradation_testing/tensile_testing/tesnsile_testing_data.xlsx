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vier\Downloads\"/>
    </mc:Choice>
  </mc:AlternateContent>
  <xr:revisionPtr revIDLastSave="0" documentId="13_ncr:1_{4170070B-9460-4080-9FFA-18DC25E1A138}" xr6:coauthVersionLast="47" xr6:coauthVersionMax="47" xr10:uidLastSave="{00000000-0000-0000-0000-000000000000}"/>
  <bookViews>
    <workbookView xWindow="28680" yWindow="-525" windowWidth="29040" windowHeight="15720" xr2:uid="{00000000-000D-0000-FFFF-FFFF00000000}"/>
  </bookViews>
  <sheets>
    <sheet name="Summary" sheetId="1" r:id="rId1"/>
    <sheet name="Averages" sheetId="2" r:id="rId2"/>
    <sheet name="Percentage Chan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c/O/07yg+rI/oCCiuU3IOYQKInwziGAZuoZRnNTWj+E="/>
    </ext>
  </extLst>
</workbook>
</file>

<file path=xl/calcChain.xml><?xml version="1.0" encoding="utf-8"?>
<calcChain xmlns="http://schemas.openxmlformats.org/spreadsheetml/2006/main">
  <c r="E8" i="3" l="1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68" i="1"/>
  <c r="E69" i="1" s="1"/>
  <c r="D68" i="1"/>
  <c r="D69" i="1" s="1"/>
  <c r="C68" i="1"/>
  <c r="C69" i="1" s="1"/>
  <c r="E60" i="1"/>
  <c r="E61" i="1" s="1"/>
  <c r="D60" i="1"/>
  <c r="D61" i="1" s="1"/>
  <c r="C60" i="1"/>
  <c r="C61" i="1" s="1"/>
  <c r="E52" i="1"/>
  <c r="E53" i="1" s="1"/>
  <c r="D52" i="1"/>
  <c r="D53" i="1" s="1"/>
  <c r="C52" i="1"/>
  <c r="C53" i="1" s="1"/>
  <c r="C45" i="1"/>
  <c r="E44" i="1"/>
  <c r="E45" i="1" s="1"/>
  <c r="D44" i="1"/>
  <c r="D45" i="1" s="1"/>
  <c r="C44" i="1"/>
  <c r="D34" i="1"/>
  <c r="E33" i="1"/>
  <c r="E34" i="1" s="1"/>
  <c r="D33" i="1"/>
  <c r="C33" i="1"/>
  <c r="C34" i="1" s="1"/>
  <c r="E25" i="1"/>
  <c r="E26" i="1" s="1"/>
  <c r="D25" i="1"/>
  <c r="D26" i="1" s="1"/>
  <c r="C25" i="1"/>
  <c r="C26" i="1" s="1"/>
  <c r="E18" i="1"/>
  <c r="E17" i="1"/>
  <c r="D17" i="1"/>
  <c r="D18" i="1" s="1"/>
  <c r="C17" i="1"/>
  <c r="C18" i="1" s="1"/>
  <c r="E10" i="1"/>
  <c r="D10" i="1"/>
  <c r="E9" i="1"/>
  <c r="D9" i="1"/>
  <c r="C9" i="1"/>
  <c r="C10" i="1" s="1"/>
</calcChain>
</file>

<file path=xl/sharedStrings.xml><?xml version="1.0" encoding="utf-8"?>
<sst xmlns="http://schemas.openxmlformats.org/spreadsheetml/2006/main" count="136" uniqueCount="84">
  <si>
    <t>PLA</t>
  </si>
  <si>
    <t>File</t>
  </si>
  <si>
    <t>Ultimate Tensile Strength (UTS) [MPa]</t>
  </si>
  <si>
    <t>Tensile Strain at UTS</t>
  </si>
  <si>
    <t>Young's Modulus (E) [MPa]</t>
  </si>
  <si>
    <t>IPA</t>
  </si>
  <si>
    <t>PLA-IPA-1.csv</t>
  </si>
  <si>
    <t>PLA-IPA-2.csv</t>
  </si>
  <si>
    <t>PLA-IPA-3.csv</t>
  </si>
  <si>
    <t>PLA-IPA-4.csv</t>
  </si>
  <si>
    <t>PLA-IPA-5.csv</t>
  </si>
  <si>
    <t>Average</t>
  </si>
  <si>
    <t>Standard Deviation</t>
  </si>
  <si>
    <t>Standard Deviation of the Mean</t>
  </si>
  <si>
    <t>Water</t>
  </si>
  <si>
    <t>PLA-W-1.csv</t>
  </si>
  <si>
    <t>PLA-W-2.csv</t>
  </si>
  <si>
    <t>PLA-W-3.csv</t>
  </si>
  <si>
    <t>PLA-W-4.csv</t>
  </si>
  <si>
    <t>PLA-W-5.csv</t>
  </si>
  <si>
    <t>Acetone</t>
  </si>
  <si>
    <t>PLA-A-1.csv</t>
  </si>
  <si>
    <t>PLA-A-2.csv</t>
  </si>
  <si>
    <t>PLA-A-3.csv</t>
  </si>
  <si>
    <t>PLA-A-4.csv</t>
  </si>
  <si>
    <t>PLA-A-5.csv</t>
  </si>
  <si>
    <t>Control</t>
  </si>
  <si>
    <t>P-run-1.csv</t>
  </si>
  <si>
    <t>P-run-2.csv</t>
  </si>
  <si>
    <t>P-run-3.csv</t>
  </si>
  <si>
    <t>P-run-4.csv</t>
  </si>
  <si>
    <t>P-run-5.csv</t>
  </si>
  <si>
    <t>Grey Resin V4</t>
  </si>
  <si>
    <t>Resin_IPA_1.csv</t>
  </si>
  <si>
    <t>Resin_IPA_2.csv</t>
  </si>
  <si>
    <t>Resin_IPA_3.csv</t>
  </si>
  <si>
    <t>Resin_IPA_4.csv</t>
  </si>
  <si>
    <t>Resin_IPA_5.csv</t>
  </si>
  <si>
    <t>Resin_W_1.csv</t>
  </si>
  <si>
    <t>Resin_W_2.csv</t>
  </si>
  <si>
    <t>Resin_W_3.csv</t>
  </si>
  <si>
    <t>Resin_W_4.csv</t>
  </si>
  <si>
    <t>Resin_W_5.csv</t>
  </si>
  <si>
    <t>Resin_A_1.csv</t>
  </si>
  <si>
    <t>Resin_A_2a.csv</t>
  </si>
  <si>
    <t>Resin_A_3.csv</t>
  </si>
  <si>
    <t>Resin_A_4.csv</t>
  </si>
  <si>
    <t>Resin_A_5.csv</t>
  </si>
  <si>
    <t>R-run-1.csv</t>
  </si>
  <si>
    <t>R-run-2.csv</t>
  </si>
  <si>
    <t>R-run-3.csv</t>
  </si>
  <si>
    <t>R-run-4.csv</t>
  </si>
  <si>
    <t>R-run-5.csv</t>
  </si>
  <si>
    <t>Average Tensile Testing Data</t>
  </si>
  <si>
    <t>Material Type</t>
  </si>
  <si>
    <t>Chemical Solution</t>
  </si>
  <si>
    <t>25 ± 2.4</t>
  </si>
  <si>
    <t>0.31 ± 0.025</t>
  </si>
  <si>
    <t>0.44 ± 1.8</t>
  </si>
  <si>
    <t>44 ± 0.86</t>
  </si>
  <si>
    <t>0.22 ± 0.010</t>
  </si>
  <si>
    <t>2.9 ± 0.64</t>
  </si>
  <si>
    <t>45 ± 0.67</t>
  </si>
  <si>
    <t>0.20 ± 0.0090</t>
  </si>
  <si>
    <t>2.8 ± 0.52</t>
  </si>
  <si>
    <t>43 ± 0.59</t>
  </si>
  <si>
    <t>0.22 ± 0.0064</t>
  </si>
  <si>
    <t>3.6 ± 1.0</t>
  </si>
  <si>
    <t>32 ± 1.7</t>
  </si>
  <si>
    <t>0.29 ± 0.036</t>
  </si>
  <si>
    <t>4.1 ± 0.48</t>
  </si>
  <si>
    <t>64 ± 0.89</t>
  </si>
  <si>
    <t>0.40 ± 0.022</t>
  </si>
  <si>
    <t>4.1 ± 0.53</t>
  </si>
  <si>
    <t>60 ± 0.52</t>
  </si>
  <si>
    <t>0.39 ± 0.010</t>
  </si>
  <si>
    <t>5.1 ± 0.56</t>
  </si>
  <si>
    <t>64 ± 0.87</t>
  </si>
  <si>
    <t>0.34 ± 0.026</t>
  </si>
  <si>
    <t>3.6 ± 0.31</t>
  </si>
  <si>
    <t>Percentage Change vs. Control</t>
  </si>
  <si>
    <t>Tensile Strength</t>
  </si>
  <si>
    <t>Tensile Strain</t>
  </si>
  <si>
    <t>Young's Modulus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</si>
</sst>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2" x14ac:knownFonts="1">
    <font>
      <sz val="11"/>
      <color theme="1"/>
      <name val="Calibri"/>
      <scheme val="minor"/>
    </font>
    <font>
      <b/>
      <sz val="24"/>
      <color theme="1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4"/>
      <color theme="1"/>
      <name val="Calibri"/>
      <scheme val="minor"/>
    </font>
    <font>
      <sz val="11"/>
      <color theme="1"/>
      <name val="Calibri"/>
    </font>
    <font>
      <b/>
      <sz val="24"/>
      <color theme="1"/>
      <name val="Calibri"/>
    </font>
    <font>
      <b/>
      <sz val="14"/>
      <color theme="1"/>
      <name val="Calibri"/>
    </font>
    <font>
      <b/>
      <sz val="16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4" xfId="0" applyFont="1" applyBorder="1"/>
    <xf numFmtId="0" fontId="4" fillId="0" borderId="4" xfId="0" applyFont="1" applyBorder="1" applyAlignment="1">
      <alignment horizontal="center" vertical="top" wrapText="1"/>
    </xf>
    <xf numFmtId="1" fontId="4" fillId="0" borderId="4" xfId="0" applyNumberFormat="1" applyFont="1" applyBorder="1" applyAlignment="1">
      <alignment horizontal="center" vertical="top" wrapText="1"/>
    </xf>
    <xf numFmtId="1" fontId="3" fillId="0" borderId="4" xfId="0" applyNumberFormat="1" applyFont="1" applyBorder="1"/>
    <xf numFmtId="2" fontId="3" fillId="0" borderId="4" xfId="0" applyNumberFormat="1" applyFont="1" applyBorder="1"/>
    <xf numFmtId="164" fontId="3" fillId="0" borderId="4" xfId="0" applyNumberFormat="1" applyFont="1" applyBorder="1"/>
    <xf numFmtId="0" fontId="3" fillId="2" borderId="4" xfId="0" applyFont="1" applyFill="1" applyBorder="1"/>
    <xf numFmtId="1" fontId="3" fillId="2" borderId="4" xfId="0" applyNumberFormat="1" applyFont="1" applyFill="1" applyBorder="1"/>
    <xf numFmtId="2" fontId="3" fillId="2" borderId="4" xfId="0" applyNumberFormat="1" applyFont="1" applyFill="1" applyBorder="1"/>
    <xf numFmtId="164" fontId="3" fillId="2" borderId="4" xfId="0" applyNumberFormat="1" applyFont="1" applyFill="1" applyBorder="1"/>
    <xf numFmtId="165" fontId="3" fillId="2" borderId="4" xfId="0" applyNumberFormat="1" applyFont="1" applyFill="1" applyBorder="1"/>
    <xf numFmtId="1" fontId="5" fillId="0" borderId="4" xfId="0" applyNumberFormat="1" applyFont="1" applyBorder="1" applyAlignment="1">
      <alignment horizontal="right"/>
    </xf>
    <xf numFmtId="2" fontId="5" fillId="0" borderId="4" xfId="0" applyNumberFormat="1" applyFont="1" applyBorder="1" applyAlignment="1">
      <alignment horizontal="right"/>
    </xf>
    <xf numFmtId="164" fontId="5" fillId="0" borderId="4" xfId="0" applyNumberFormat="1" applyFont="1" applyBorder="1" applyAlignment="1">
      <alignment horizontal="right"/>
    </xf>
    <xf numFmtId="1" fontId="5" fillId="2" borderId="4" xfId="0" applyNumberFormat="1" applyFont="1" applyFill="1" applyBorder="1" applyAlignment="1">
      <alignment horizontal="right"/>
    </xf>
    <xf numFmtId="2" fontId="5" fillId="2" borderId="4" xfId="0" applyNumberFormat="1" applyFont="1" applyFill="1" applyBorder="1" applyAlignment="1">
      <alignment horizontal="right"/>
    </xf>
    <xf numFmtId="164" fontId="5" fillId="2" borderId="4" xfId="0" applyNumberFormat="1" applyFont="1" applyFill="1" applyBorder="1" applyAlignment="1">
      <alignment horizontal="right"/>
    </xf>
    <xf numFmtId="0" fontId="5" fillId="0" borderId="4" xfId="0" applyFont="1" applyBorder="1"/>
    <xf numFmtId="0" fontId="5" fillId="2" borderId="4" xfId="0" applyFont="1" applyFill="1" applyBorder="1"/>
    <xf numFmtId="166" fontId="3" fillId="2" borderId="4" xfId="0" applyNumberFormat="1" applyFont="1" applyFill="1" applyBorder="1"/>
    <xf numFmtId="0" fontId="5" fillId="0" borderId="4" xfId="0" applyFont="1" applyBorder="1" applyAlignment="1">
      <alignment horizontal="right"/>
    </xf>
    <xf numFmtId="0" fontId="7" fillId="0" borderId="4" xfId="0" applyFont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167" fontId="11" fillId="5" borderId="4" xfId="0" applyNumberFormat="1" applyFont="1" applyFill="1" applyBorder="1" applyAlignment="1">
      <alignment horizontal="right" wrapText="1"/>
    </xf>
    <xf numFmtId="0" fontId="10" fillId="6" borderId="4" xfId="0" applyFont="1" applyFill="1" applyBorder="1" applyAlignment="1">
      <alignment horizontal="center" vertical="center" wrapText="1"/>
    </xf>
    <xf numFmtId="167" fontId="11" fillId="6" borderId="4" xfId="0" applyNumberFormat="1" applyFont="1" applyFill="1" applyBorder="1" applyAlignment="1">
      <alignment horizontal="right" wrapText="1"/>
    </xf>
    <xf numFmtId="0" fontId="9" fillId="4" borderId="4" xfId="0" applyFont="1" applyFill="1" applyBorder="1" applyAlignment="1">
      <alignment horizontal="center" wrapText="1"/>
    </xf>
    <xf numFmtId="0" fontId="9" fillId="4" borderId="4" xfId="0" applyFont="1" applyFill="1" applyBorder="1" applyAlignment="1">
      <alignment horizontal="center" vertical="top" wrapText="1"/>
    </xf>
    <xf numFmtId="1" fontId="11" fillId="5" borderId="4" xfId="0" applyNumberFormat="1" applyFont="1" applyFill="1" applyBorder="1" applyAlignment="1">
      <alignment wrapText="1"/>
    </xf>
    <xf numFmtId="1" fontId="11" fillId="0" borderId="4" xfId="0" applyNumberFormat="1" applyFont="1" applyBorder="1" applyAlignment="1">
      <alignment wrapText="1"/>
    </xf>
    <xf numFmtId="164" fontId="11" fillId="5" borderId="4" xfId="0" applyNumberFormat="1" applyFont="1" applyFill="1" applyBorder="1" applyAlignment="1">
      <alignment wrapText="1"/>
    </xf>
    <xf numFmtId="2" fontId="11" fillId="5" borderId="4" xfId="0" applyNumberFormat="1" applyFont="1" applyFill="1" applyBorder="1" applyAlignment="1">
      <alignment wrapText="1"/>
    </xf>
    <xf numFmtId="1" fontId="11" fillId="6" borderId="4" xfId="0" applyNumberFormat="1" applyFont="1" applyFill="1" applyBorder="1" applyAlignment="1">
      <alignment horizontal="right" wrapText="1"/>
    </xf>
    <xf numFmtId="2" fontId="11" fillId="6" borderId="4" xfId="0" applyNumberFormat="1" applyFont="1" applyFill="1" applyBorder="1" applyAlignment="1">
      <alignment horizontal="right" wrapText="1"/>
    </xf>
    <xf numFmtId="0" fontId="7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6"/>
  <sheetViews>
    <sheetView tabSelected="1" topLeftCell="A36" workbookViewId="0">
      <selection activeCell="A36" sqref="A36:XFD36"/>
    </sheetView>
  </sheetViews>
  <sheetFormatPr defaultColWidth="14.42578125" defaultRowHeight="15" customHeight="1" x14ac:dyDescent="0.25"/>
  <cols>
    <col min="1" max="5" width="28.7109375" customWidth="1"/>
    <col min="6" max="26" width="8.7109375" customWidth="1"/>
  </cols>
  <sheetData>
    <row r="1" spans="1:5" ht="31.5" customHeight="1" x14ac:dyDescent="0.5">
      <c r="A1" s="39" t="s">
        <v>0</v>
      </c>
      <c r="B1" s="40"/>
      <c r="C1" s="40"/>
      <c r="D1" s="40"/>
      <c r="E1" s="41"/>
    </row>
    <row r="2" spans="1:5" ht="37.5" x14ac:dyDescent="0.25">
      <c r="A2" s="1"/>
      <c r="B2" s="2" t="s">
        <v>1</v>
      </c>
      <c r="C2" s="3" t="s">
        <v>2</v>
      </c>
      <c r="D2" s="2" t="s">
        <v>3</v>
      </c>
      <c r="E2" s="2" t="s">
        <v>4</v>
      </c>
    </row>
    <row r="3" spans="1:5" x14ac:dyDescent="0.25">
      <c r="A3" s="42" t="s">
        <v>5</v>
      </c>
      <c r="B3" s="1" t="s">
        <v>6</v>
      </c>
      <c r="C3" s="4">
        <v>25.596006289308178</v>
      </c>
      <c r="D3" s="5">
        <v>0.39126863517060367</v>
      </c>
      <c r="E3" s="6">
        <v>7.2058555485966638</v>
      </c>
    </row>
    <row r="4" spans="1:5" x14ac:dyDescent="0.25">
      <c r="A4" s="37"/>
      <c r="B4" s="1" t="s">
        <v>7</v>
      </c>
      <c r="C4" s="4">
        <v>24.837893081760999</v>
      </c>
      <c r="D4" s="5">
        <v>0.30072178477690292</v>
      </c>
      <c r="E4" s="6">
        <v>-3.006386288450249</v>
      </c>
    </row>
    <row r="5" spans="1:5" x14ac:dyDescent="0.25">
      <c r="A5" s="37"/>
      <c r="B5" s="1" t="s">
        <v>8</v>
      </c>
      <c r="C5" s="4">
        <v>29.572397798742141</v>
      </c>
      <c r="D5" s="5">
        <v>0.26922572178477688</v>
      </c>
      <c r="E5" s="6">
        <v>-1.4613055540369071</v>
      </c>
    </row>
    <row r="6" spans="1:5" x14ac:dyDescent="0.25">
      <c r="A6" s="37"/>
      <c r="B6" s="1" t="s">
        <v>9</v>
      </c>
      <c r="C6" s="4">
        <v>15.49314465408805</v>
      </c>
      <c r="D6" s="5">
        <v>0.34534553805774282</v>
      </c>
      <c r="E6" s="5">
        <v>0.76070141517107503</v>
      </c>
    </row>
    <row r="7" spans="1:5" x14ac:dyDescent="0.25">
      <c r="A7" s="37"/>
      <c r="B7" s="1" t="s">
        <v>10</v>
      </c>
      <c r="C7" s="4">
        <v>27.83899371069182</v>
      </c>
      <c r="D7" s="5">
        <v>0.25479881889763778</v>
      </c>
      <c r="E7" s="6">
        <v>-1.3223589672604501</v>
      </c>
    </row>
    <row r="8" spans="1:5" x14ac:dyDescent="0.25">
      <c r="A8" s="37"/>
      <c r="B8" s="7" t="s">
        <v>11</v>
      </c>
      <c r="C8" s="8">
        <v>24.66768710691824</v>
      </c>
      <c r="D8" s="9">
        <v>0.31227209973753278</v>
      </c>
      <c r="E8" s="9">
        <v>0.43530123080402672</v>
      </c>
    </row>
    <row r="9" spans="1:5" x14ac:dyDescent="0.25">
      <c r="A9" s="37"/>
      <c r="B9" s="7" t="s">
        <v>12</v>
      </c>
      <c r="C9" s="10">
        <f t="shared" ref="C9:E9" si="0">STDEV(C3:C7)</f>
        <v>5.4583960176657564</v>
      </c>
      <c r="D9" s="11">
        <f t="shared" si="0"/>
        <v>5.617802811996838E-2</v>
      </c>
      <c r="E9" s="10">
        <f t="shared" si="0"/>
        <v>4.0149094229671611</v>
      </c>
    </row>
    <row r="10" spans="1:5" x14ac:dyDescent="0.25">
      <c r="A10" s="38"/>
      <c r="B10" s="7" t="s">
        <v>13</v>
      </c>
      <c r="C10" s="10">
        <f t="shared" ref="C10:E10" si="1">C9/SQRT(5)</f>
        <v>2.4410689087229547</v>
      </c>
      <c r="D10" s="11">
        <f t="shared" si="1"/>
        <v>2.5123577943628801E-2</v>
      </c>
      <c r="E10" s="10">
        <f t="shared" si="1"/>
        <v>1.7955220786518054</v>
      </c>
    </row>
    <row r="11" spans="1:5" x14ac:dyDescent="0.25">
      <c r="A11" s="42" t="s">
        <v>14</v>
      </c>
      <c r="B11" s="1" t="s">
        <v>15</v>
      </c>
      <c r="C11" s="12">
        <v>45.411305031446538</v>
      </c>
      <c r="D11" s="13">
        <v>0.20098858267716541</v>
      </c>
      <c r="E11" s="14">
        <v>4.5377596729781029</v>
      </c>
    </row>
    <row r="12" spans="1:5" x14ac:dyDescent="0.25">
      <c r="A12" s="37"/>
      <c r="B12" s="1" t="s">
        <v>16</v>
      </c>
      <c r="C12" s="12">
        <v>44.675864779874217</v>
      </c>
      <c r="D12" s="13">
        <v>0.20297020997375331</v>
      </c>
      <c r="E12" s="14">
        <v>3.2246314086178209</v>
      </c>
    </row>
    <row r="13" spans="1:5" x14ac:dyDescent="0.25">
      <c r="A13" s="37"/>
      <c r="B13" s="1" t="s">
        <v>17</v>
      </c>
      <c r="C13" s="12">
        <v>44.484308176100633</v>
      </c>
      <c r="D13" s="13">
        <v>0.20359580052493439</v>
      </c>
      <c r="E13" s="14">
        <v>1.599416853557996</v>
      </c>
    </row>
    <row r="14" spans="1:5" x14ac:dyDescent="0.25">
      <c r="A14" s="37"/>
      <c r="B14" s="1" t="s">
        <v>18</v>
      </c>
      <c r="C14" s="12">
        <v>45.518514150943403</v>
      </c>
      <c r="D14" s="13">
        <v>0.22398070866141731</v>
      </c>
      <c r="E14" s="14">
        <v>3.8742289295678649</v>
      </c>
    </row>
    <row r="15" spans="1:5" x14ac:dyDescent="0.25">
      <c r="A15" s="37"/>
      <c r="B15" s="1" t="s">
        <v>19</v>
      </c>
      <c r="C15" s="12">
        <v>40.846179245283018</v>
      </c>
      <c r="D15" s="13">
        <v>0.25482506561679791</v>
      </c>
      <c r="E15" s="14">
        <v>1.256585764186017</v>
      </c>
    </row>
    <row r="16" spans="1:5" x14ac:dyDescent="0.25">
      <c r="A16" s="37"/>
      <c r="B16" s="7" t="s">
        <v>11</v>
      </c>
      <c r="C16" s="15">
        <v>44.187234276729562</v>
      </c>
      <c r="D16" s="16">
        <v>0.21727207349081359</v>
      </c>
      <c r="E16" s="17">
        <v>2.8985245257815602</v>
      </c>
    </row>
    <row r="17" spans="1:5" x14ac:dyDescent="0.25">
      <c r="A17" s="37"/>
      <c r="B17" s="7" t="s">
        <v>12</v>
      </c>
      <c r="C17" s="10">
        <f t="shared" ref="C17:E17" si="2">STDEV(C11:C15)</f>
        <v>1.9209578801658698</v>
      </c>
      <c r="D17" s="11">
        <f t="shared" si="2"/>
        <v>2.2978080962313432E-2</v>
      </c>
      <c r="E17" s="10">
        <f t="shared" si="2"/>
        <v>1.4255771016737118</v>
      </c>
    </row>
    <row r="18" spans="1:5" x14ac:dyDescent="0.25">
      <c r="A18" s="38"/>
      <c r="B18" s="7" t="s">
        <v>13</v>
      </c>
      <c r="C18" s="9">
        <f t="shared" ref="C18:E18" si="3">C17/SQRT(5)</f>
        <v>0.85907848039295587</v>
      </c>
      <c r="D18" s="11">
        <f t="shared" si="3"/>
        <v>1.0276110204845323E-2</v>
      </c>
      <c r="E18" s="9">
        <f t="shared" si="3"/>
        <v>0.63753746130190969</v>
      </c>
    </row>
    <row r="19" spans="1:5" x14ac:dyDescent="0.25">
      <c r="A19" s="42" t="s">
        <v>20</v>
      </c>
      <c r="B19" s="18" t="s">
        <v>21</v>
      </c>
      <c r="C19" s="12">
        <v>44.100503144654077</v>
      </c>
      <c r="D19" s="13">
        <v>0.20363950131233599</v>
      </c>
      <c r="E19" s="14">
        <v>1.568819356241743</v>
      </c>
    </row>
    <row r="20" spans="1:5" x14ac:dyDescent="0.25">
      <c r="A20" s="37"/>
      <c r="B20" s="18" t="s">
        <v>22</v>
      </c>
      <c r="C20" s="12">
        <v>44.63481918238994</v>
      </c>
      <c r="D20" s="13">
        <v>0.1695275590551181</v>
      </c>
      <c r="E20" s="14">
        <v>2.6523797328642762</v>
      </c>
    </row>
    <row r="21" spans="1:5" x14ac:dyDescent="0.25">
      <c r="A21" s="37"/>
      <c r="B21" s="18" t="s">
        <v>23</v>
      </c>
      <c r="C21" s="12">
        <v>46.243270440251557</v>
      </c>
      <c r="D21" s="13">
        <v>0.19577427821522311</v>
      </c>
      <c r="E21" s="14">
        <v>2.663094079289813</v>
      </c>
    </row>
    <row r="22" spans="1:5" x14ac:dyDescent="0.25">
      <c r="A22" s="37"/>
      <c r="B22" s="18" t="s">
        <v>24</v>
      </c>
      <c r="C22" s="12">
        <v>42.440133647798739</v>
      </c>
      <c r="D22" s="13">
        <v>0.22262900262467189</v>
      </c>
      <c r="E22" s="14">
        <v>2.4323956154382569</v>
      </c>
    </row>
    <row r="23" spans="1:5" x14ac:dyDescent="0.25">
      <c r="A23" s="37"/>
      <c r="B23" s="18" t="s">
        <v>25</v>
      </c>
      <c r="C23" s="12">
        <v>45.729882075471693</v>
      </c>
      <c r="D23" s="13">
        <v>0.21154855643044621</v>
      </c>
      <c r="E23" s="14">
        <v>4.7175209703348022</v>
      </c>
    </row>
    <row r="24" spans="1:5" x14ac:dyDescent="0.25">
      <c r="A24" s="37"/>
      <c r="B24" s="19" t="s">
        <v>11</v>
      </c>
      <c r="C24" s="15">
        <v>44.629721698113208</v>
      </c>
      <c r="D24" s="16">
        <v>0.200623779527559</v>
      </c>
      <c r="E24" s="17">
        <v>2.8068419508337792</v>
      </c>
    </row>
    <row r="25" spans="1:5" x14ac:dyDescent="0.25">
      <c r="A25" s="37"/>
      <c r="B25" s="7" t="s">
        <v>12</v>
      </c>
      <c r="C25" s="10">
        <f t="shared" ref="C25:E25" si="4">STDEV(C19:C23)</f>
        <v>1.4906614715384792</v>
      </c>
      <c r="D25" s="11">
        <f t="shared" si="4"/>
        <v>2.0019788725556938E-2</v>
      </c>
      <c r="E25" s="10">
        <f t="shared" si="4"/>
        <v>1.1584608696160612</v>
      </c>
    </row>
    <row r="26" spans="1:5" x14ac:dyDescent="0.25">
      <c r="A26" s="38"/>
      <c r="B26" s="7" t="s">
        <v>13</v>
      </c>
      <c r="C26" s="9">
        <f t="shared" ref="C26:E26" si="5">C25/SQRT(5)</f>
        <v>0.66664407635998146</v>
      </c>
      <c r="D26" s="20">
        <f t="shared" si="5"/>
        <v>8.953121697105838E-3</v>
      </c>
      <c r="E26" s="9">
        <f t="shared" si="5"/>
        <v>0.51807945074700668</v>
      </c>
    </row>
    <row r="27" spans="1:5" ht="15.75" customHeight="1" x14ac:dyDescent="0.25">
      <c r="A27" s="42" t="s">
        <v>26</v>
      </c>
      <c r="B27" s="18" t="s">
        <v>27</v>
      </c>
      <c r="C27" s="12">
        <v>42.265628930817613</v>
      </c>
      <c r="D27" s="13">
        <v>0.21146102362204719</v>
      </c>
      <c r="E27" s="14">
        <v>5.0235977082532672</v>
      </c>
    </row>
    <row r="28" spans="1:5" ht="15.75" customHeight="1" x14ac:dyDescent="0.25">
      <c r="A28" s="37"/>
      <c r="B28" s="18" t="s">
        <v>28</v>
      </c>
      <c r="C28" s="12">
        <v>44.880235849056596</v>
      </c>
      <c r="D28" s="13">
        <v>0.2161023622047244</v>
      </c>
      <c r="E28" s="14">
        <v>2.6513379384985658</v>
      </c>
    </row>
    <row r="29" spans="1:5" ht="15.75" customHeight="1" x14ac:dyDescent="0.25">
      <c r="A29" s="37"/>
      <c r="B29" s="18" t="s">
        <v>29</v>
      </c>
      <c r="C29" s="12">
        <v>43.312452830188683</v>
      </c>
      <c r="D29" s="13">
        <v>0.23515314960629921</v>
      </c>
      <c r="E29" s="14">
        <v>5.1413307123713849</v>
      </c>
    </row>
    <row r="30" spans="1:5" ht="15.75" customHeight="1" x14ac:dyDescent="0.25">
      <c r="A30" s="37"/>
      <c r="B30" s="18" t="s">
        <v>30</v>
      </c>
      <c r="C30" s="12">
        <v>42.037452830188677</v>
      </c>
      <c r="D30" s="13">
        <v>0.2206912073490814</v>
      </c>
      <c r="E30" s="21">
        <v>6.3467362226019203E-2</v>
      </c>
    </row>
    <row r="31" spans="1:5" ht="15.75" customHeight="1" x14ac:dyDescent="0.25">
      <c r="A31" s="37"/>
      <c r="B31" s="18" t="s">
        <v>31</v>
      </c>
      <c r="C31" s="12">
        <v>41.604544025157232</v>
      </c>
      <c r="D31" s="13">
        <v>0.19576548556430451</v>
      </c>
      <c r="E31" s="14">
        <v>5.1625052117450698</v>
      </c>
    </row>
    <row r="32" spans="1:5" ht="15.75" customHeight="1" x14ac:dyDescent="0.25">
      <c r="A32" s="37"/>
      <c r="B32" s="19" t="s">
        <v>11</v>
      </c>
      <c r="C32" s="15">
        <v>42.820062893081747</v>
      </c>
      <c r="D32" s="16">
        <v>0.21583464566929139</v>
      </c>
      <c r="E32" s="17">
        <v>3.608447786618862</v>
      </c>
    </row>
    <row r="33" spans="1:5" ht="15.75" customHeight="1" x14ac:dyDescent="0.25">
      <c r="A33" s="37"/>
      <c r="B33" s="7" t="s">
        <v>12</v>
      </c>
      <c r="C33" s="10">
        <f t="shared" ref="C33:E33" si="6">STDEV(C27:C31)</f>
        <v>1.3118805305770243</v>
      </c>
      <c r="D33" s="11">
        <f t="shared" si="6"/>
        <v>1.4307010650279754E-2</v>
      </c>
      <c r="E33" s="10">
        <f t="shared" si="6"/>
        <v>2.2500232952156685</v>
      </c>
    </row>
    <row r="34" spans="1:5" ht="15.75" customHeight="1" x14ac:dyDescent="0.25">
      <c r="A34" s="38"/>
      <c r="B34" s="7" t="s">
        <v>13</v>
      </c>
      <c r="C34" s="9">
        <f t="shared" ref="C34:E34" si="7">C33/SQRT(5)</f>
        <v>0.58669080894574355</v>
      </c>
      <c r="D34" s="20">
        <f t="shared" si="7"/>
        <v>6.3982896737677999E-3</v>
      </c>
      <c r="E34" s="10">
        <f t="shared" si="7"/>
        <v>1.0062410078120623</v>
      </c>
    </row>
    <row r="35" spans="1:5" ht="15.75" customHeight="1" x14ac:dyDescent="0.25"/>
    <row r="36" spans="1:5" ht="31.5" customHeight="1" x14ac:dyDescent="0.5">
      <c r="A36" s="43" t="s">
        <v>32</v>
      </c>
      <c r="B36" s="40"/>
      <c r="C36" s="40"/>
      <c r="D36" s="40"/>
      <c r="E36" s="41"/>
    </row>
    <row r="37" spans="1:5" ht="15.75" customHeight="1" x14ac:dyDescent="0.25">
      <c r="A37" s="18"/>
      <c r="B37" s="22" t="s">
        <v>1</v>
      </c>
      <c r="C37" s="2" t="s">
        <v>2</v>
      </c>
      <c r="D37" s="2" t="s">
        <v>3</v>
      </c>
      <c r="E37" s="2" t="s">
        <v>4</v>
      </c>
    </row>
    <row r="38" spans="1:5" ht="15.75" customHeight="1" x14ac:dyDescent="0.25">
      <c r="A38" s="36" t="s">
        <v>5</v>
      </c>
      <c r="B38" s="18" t="s">
        <v>33</v>
      </c>
      <c r="C38" s="12">
        <v>34.372696540880497</v>
      </c>
      <c r="D38" s="13">
        <v>0.29022309711286087</v>
      </c>
      <c r="E38" s="14">
        <v>5.0324164904038762</v>
      </c>
    </row>
    <row r="39" spans="1:5" ht="15.75" customHeight="1" x14ac:dyDescent="0.25">
      <c r="A39" s="37"/>
      <c r="B39" s="18" t="s">
        <v>34</v>
      </c>
      <c r="C39" s="12">
        <v>36.163026729559753</v>
      </c>
      <c r="D39" s="13">
        <v>0.36764212598425189</v>
      </c>
      <c r="E39" s="14">
        <v>4.6424630316983801</v>
      </c>
    </row>
    <row r="40" spans="1:5" ht="15.75" customHeight="1" x14ac:dyDescent="0.25">
      <c r="A40" s="37"/>
      <c r="B40" s="18" t="s">
        <v>35</v>
      </c>
      <c r="C40" s="12">
        <v>34.168396226415091</v>
      </c>
      <c r="D40" s="13">
        <v>0.31976811023622048</v>
      </c>
      <c r="E40" s="14">
        <v>2.9824681277079721</v>
      </c>
    </row>
    <row r="41" spans="1:5" ht="15.75" customHeight="1" x14ac:dyDescent="0.25">
      <c r="A41" s="37"/>
      <c r="B41" s="18" t="s">
        <v>36</v>
      </c>
      <c r="C41" s="12">
        <v>30.359693396226412</v>
      </c>
      <c r="D41" s="13">
        <v>0.29679356955380581</v>
      </c>
      <c r="E41" s="14">
        <v>2.8545825384333452</v>
      </c>
    </row>
    <row r="42" spans="1:5" ht="15.75" customHeight="1" x14ac:dyDescent="0.25">
      <c r="A42" s="37"/>
      <c r="B42" s="18" t="s">
        <v>37</v>
      </c>
      <c r="C42" s="12">
        <v>26.656084905660379</v>
      </c>
      <c r="D42" s="13">
        <v>0.15442257217847771</v>
      </c>
      <c r="E42" s="14">
        <v>4.8665140102429927</v>
      </c>
    </row>
    <row r="43" spans="1:5" ht="15.75" customHeight="1" x14ac:dyDescent="0.25">
      <c r="A43" s="37"/>
      <c r="B43" s="19" t="s">
        <v>11</v>
      </c>
      <c r="C43" s="15">
        <v>32.343979559748433</v>
      </c>
      <c r="D43" s="16">
        <v>0.28576989501312339</v>
      </c>
      <c r="E43" s="17">
        <v>4.0756888396973121</v>
      </c>
    </row>
    <row r="44" spans="1:5" ht="15.75" customHeight="1" x14ac:dyDescent="0.25">
      <c r="A44" s="37"/>
      <c r="B44" s="7" t="s">
        <v>12</v>
      </c>
      <c r="C44" s="10">
        <f t="shared" ref="C44:E44" si="8">STDEV(C38:C42)</f>
        <v>3.8183388804274228</v>
      </c>
      <c r="D44" s="11">
        <f t="shared" si="8"/>
        <v>7.9455038335675424E-2</v>
      </c>
      <c r="E44" s="10">
        <f t="shared" si="8"/>
        <v>1.066325156416025</v>
      </c>
    </row>
    <row r="45" spans="1:5" ht="15.75" customHeight="1" x14ac:dyDescent="0.25">
      <c r="A45" s="38"/>
      <c r="B45" s="7" t="s">
        <v>13</v>
      </c>
      <c r="C45" s="10">
        <f t="shared" ref="C45:E45" si="9">C44/SQRT(5)</f>
        <v>1.7076130595532317</v>
      </c>
      <c r="D45" s="11">
        <f t="shared" si="9"/>
        <v>3.5533373374684402E-2</v>
      </c>
      <c r="E45" s="9">
        <f t="shared" si="9"/>
        <v>0.47687510717286558</v>
      </c>
    </row>
    <row r="46" spans="1:5" ht="15.75" customHeight="1" x14ac:dyDescent="0.25">
      <c r="A46" s="36" t="s">
        <v>14</v>
      </c>
      <c r="B46" s="18" t="s">
        <v>38</v>
      </c>
      <c r="C46" s="12">
        <v>65.579418238993711</v>
      </c>
      <c r="D46" s="13">
        <v>0.44047677165354332</v>
      </c>
      <c r="E46" s="14">
        <v>3.600807740501963</v>
      </c>
    </row>
    <row r="47" spans="1:5" ht="15.75" customHeight="1" x14ac:dyDescent="0.25">
      <c r="A47" s="37"/>
      <c r="B47" s="18" t="s">
        <v>39</v>
      </c>
      <c r="C47" s="12">
        <v>64.083364779874216</v>
      </c>
      <c r="D47" s="13">
        <v>0.4431715223097113</v>
      </c>
      <c r="E47" s="14">
        <v>5.8081120145134726</v>
      </c>
    </row>
    <row r="48" spans="1:5" ht="15.75" customHeight="1" x14ac:dyDescent="0.25">
      <c r="A48" s="37"/>
      <c r="B48" s="18" t="s">
        <v>40</v>
      </c>
      <c r="C48" s="12">
        <v>65.825959119496858</v>
      </c>
      <c r="D48" s="13">
        <v>0.42411640419947499</v>
      </c>
      <c r="E48" s="14">
        <v>3.203070131239091</v>
      </c>
    </row>
    <row r="49" spans="1:5" ht="15.75" customHeight="1" x14ac:dyDescent="0.25">
      <c r="A49" s="37"/>
      <c r="B49" s="18" t="s">
        <v>41</v>
      </c>
      <c r="C49" s="12">
        <v>65.433341194968548</v>
      </c>
      <c r="D49" s="13">
        <v>0.38669291338582679</v>
      </c>
      <c r="E49" s="14">
        <v>4.9281858525068376</v>
      </c>
    </row>
    <row r="50" spans="1:5" ht="15.75" customHeight="1" x14ac:dyDescent="0.25">
      <c r="A50" s="37"/>
      <c r="B50" s="18" t="s">
        <v>42</v>
      </c>
      <c r="C50" s="12">
        <v>61.026847484276722</v>
      </c>
      <c r="D50" s="13">
        <v>0.32503937007874012</v>
      </c>
      <c r="E50" s="14">
        <v>3.0807361983606891</v>
      </c>
    </row>
    <row r="51" spans="1:5" ht="15.75" customHeight="1" x14ac:dyDescent="0.25">
      <c r="A51" s="37"/>
      <c r="B51" s="19" t="s">
        <v>11</v>
      </c>
      <c r="C51" s="15">
        <v>64.389786163522018</v>
      </c>
      <c r="D51" s="16">
        <v>0.40389939632545929</v>
      </c>
      <c r="E51" s="17">
        <v>4.124182387424411</v>
      </c>
    </row>
    <row r="52" spans="1:5" ht="15.75" customHeight="1" x14ac:dyDescent="0.25">
      <c r="A52" s="37"/>
      <c r="B52" s="7" t="s">
        <v>12</v>
      </c>
      <c r="C52" s="10">
        <f t="shared" ref="C52:E52" si="10">STDEV(C46:C50)</f>
        <v>1.9981288098395142</v>
      </c>
      <c r="D52" s="11">
        <f t="shared" si="10"/>
        <v>4.9507318821002934E-2</v>
      </c>
      <c r="E52" s="10">
        <f t="shared" si="10"/>
        <v>1.1930202554714315</v>
      </c>
    </row>
    <row r="53" spans="1:5" ht="15.75" customHeight="1" x14ac:dyDescent="0.25">
      <c r="A53" s="38"/>
      <c r="B53" s="7" t="s">
        <v>13</v>
      </c>
      <c r="C53" s="9">
        <f t="shared" ref="C53:E53" si="11">C52/SQRT(5)</f>
        <v>0.89359036932038083</v>
      </c>
      <c r="D53" s="11">
        <f t="shared" si="11"/>
        <v>2.214034605350346E-2</v>
      </c>
      <c r="E53" s="9">
        <f t="shared" si="11"/>
        <v>0.53353487795365728</v>
      </c>
    </row>
    <row r="54" spans="1:5" ht="15.75" customHeight="1" x14ac:dyDescent="0.25">
      <c r="A54" s="36" t="s">
        <v>20</v>
      </c>
      <c r="B54" s="18" t="s">
        <v>43</v>
      </c>
      <c r="C54" s="12">
        <v>65.864693396226414</v>
      </c>
      <c r="D54" s="13">
        <v>0.42341640419947513</v>
      </c>
      <c r="E54" s="14">
        <v>3.054814016183844</v>
      </c>
    </row>
    <row r="55" spans="1:5" ht="15.75" customHeight="1" x14ac:dyDescent="0.25">
      <c r="A55" s="37"/>
      <c r="B55" s="18" t="s">
        <v>44</v>
      </c>
      <c r="C55" s="12">
        <v>63.97477987421383</v>
      </c>
      <c r="D55" s="13">
        <v>0.43066929133858273</v>
      </c>
      <c r="E55" s="14">
        <v>5.1550191652903576</v>
      </c>
    </row>
    <row r="56" spans="1:5" ht="15.75" customHeight="1" x14ac:dyDescent="0.25">
      <c r="A56" s="37"/>
      <c r="B56" s="18" t="s">
        <v>45</v>
      </c>
      <c r="C56" s="12">
        <v>64.037877358490562</v>
      </c>
      <c r="D56" s="13">
        <v>0.40572178477690291</v>
      </c>
      <c r="E56" s="14">
        <v>4.9914504887085052</v>
      </c>
    </row>
    <row r="57" spans="1:5" ht="15.75" customHeight="1" x14ac:dyDescent="0.25">
      <c r="A57" s="37"/>
      <c r="B57" s="18" t="s">
        <v>46</v>
      </c>
      <c r="C57" s="12">
        <v>62.765691823899367</v>
      </c>
      <c r="D57" s="13">
        <v>0.3965748031496063</v>
      </c>
      <c r="E57" s="14">
        <v>4.877116227988985</v>
      </c>
    </row>
    <row r="58" spans="1:5" ht="15.75" customHeight="1" x14ac:dyDescent="0.25">
      <c r="A58" s="37"/>
      <c r="B58" s="18" t="s">
        <v>47</v>
      </c>
      <c r="C58" s="12">
        <v>63.360172955974853</v>
      </c>
      <c r="D58" s="13">
        <v>0.37364396325459309</v>
      </c>
      <c r="E58" s="14">
        <v>6.5798033665599842</v>
      </c>
    </row>
    <row r="59" spans="1:5" ht="15.75" customHeight="1" x14ac:dyDescent="0.25">
      <c r="A59" s="37"/>
      <c r="B59" s="19" t="s">
        <v>11</v>
      </c>
      <c r="C59" s="15">
        <v>60.21346829140461</v>
      </c>
      <c r="D59" s="16">
        <v>0.39086467629046368</v>
      </c>
      <c r="E59" s="17">
        <v>5.0786310195292019</v>
      </c>
    </row>
    <row r="60" spans="1:5" ht="15.75" customHeight="1" x14ac:dyDescent="0.25">
      <c r="A60" s="37"/>
      <c r="B60" s="7" t="s">
        <v>12</v>
      </c>
      <c r="C60" s="10">
        <f t="shared" ref="C60:E60" si="12">STDEV(C54:C58)</f>
        <v>1.1631901674968461</v>
      </c>
      <c r="D60" s="11">
        <f t="shared" si="12"/>
        <v>2.2625924212385615E-2</v>
      </c>
      <c r="E60" s="10">
        <f t="shared" si="12"/>
        <v>1.2545284616296442</v>
      </c>
    </row>
    <row r="61" spans="1:5" ht="15.75" customHeight="1" x14ac:dyDescent="0.25">
      <c r="A61" s="38"/>
      <c r="B61" s="7" t="s">
        <v>13</v>
      </c>
      <c r="C61" s="9">
        <f t="shared" ref="C61:E61" si="13">C60/SQRT(5)</f>
        <v>0.52019445705646283</v>
      </c>
      <c r="D61" s="11">
        <f t="shared" si="13"/>
        <v>1.0118620918530524E-2</v>
      </c>
      <c r="E61" s="9">
        <f t="shared" si="13"/>
        <v>0.56104218398242411</v>
      </c>
    </row>
    <row r="62" spans="1:5" ht="15.75" customHeight="1" x14ac:dyDescent="0.25">
      <c r="A62" s="36" t="s">
        <v>26</v>
      </c>
      <c r="B62" s="18" t="s">
        <v>48</v>
      </c>
      <c r="C62" s="12">
        <v>65.923608490566039</v>
      </c>
      <c r="D62" s="13">
        <v>0.3059754593175853</v>
      </c>
      <c r="E62" s="14">
        <v>3.6975347696648462</v>
      </c>
    </row>
    <row r="63" spans="1:5" ht="15.75" customHeight="1" x14ac:dyDescent="0.25">
      <c r="A63" s="37"/>
      <c r="B63" s="18" t="s">
        <v>49</v>
      </c>
      <c r="C63" s="12">
        <v>66.00014937106917</v>
      </c>
      <c r="D63" s="13">
        <v>0.43458884514435703</v>
      </c>
      <c r="E63" s="14">
        <v>2.459310735837438</v>
      </c>
    </row>
    <row r="64" spans="1:5" ht="15.75" customHeight="1" x14ac:dyDescent="0.25">
      <c r="A64" s="37"/>
      <c r="B64" s="18" t="s">
        <v>50</v>
      </c>
      <c r="C64" s="12">
        <v>61.510809748427668</v>
      </c>
      <c r="D64" s="13">
        <v>0.27779960629921258</v>
      </c>
      <c r="E64" s="14">
        <v>4.4058903645412313</v>
      </c>
    </row>
    <row r="65" spans="1:5" ht="15.75" customHeight="1" x14ac:dyDescent="0.25">
      <c r="A65" s="37"/>
      <c r="B65" s="18" t="s">
        <v>51</v>
      </c>
      <c r="C65" s="12">
        <v>62.873592767295598</v>
      </c>
      <c r="D65" s="13">
        <v>0.33165354330708657</v>
      </c>
      <c r="E65" s="14">
        <v>3.678961333767496</v>
      </c>
    </row>
    <row r="66" spans="1:5" ht="15.75" customHeight="1" x14ac:dyDescent="0.25">
      <c r="A66" s="37"/>
      <c r="B66" s="18" t="s">
        <v>52</v>
      </c>
      <c r="C66" s="12">
        <v>64.147657232704404</v>
      </c>
      <c r="D66" s="13">
        <v>0.33489501312335962</v>
      </c>
      <c r="E66" s="14">
        <v>3.6148173238906658</v>
      </c>
    </row>
    <row r="67" spans="1:5" ht="15.75" customHeight="1" x14ac:dyDescent="0.25">
      <c r="A67" s="37"/>
      <c r="B67" s="19" t="s">
        <v>11</v>
      </c>
      <c r="C67" s="15">
        <v>64.091163522012579</v>
      </c>
      <c r="D67" s="16">
        <v>0.33698249343832021</v>
      </c>
      <c r="E67" s="17">
        <v>3.5713029055403349</v>
      </c>
    </row>
    <row r="68" spans="1:5" ht="15.75" customHeight="1" x14ac:dyDescent="0.25">
      <c r="A68" s="37"/>
      <c r="B68" s="7" t="s">
        <v>12</v>
      </c>
      <c r="C68" s="10">
        <f t="shared" ref="C68:E68" si="14">STDEV(C62:C66)</f>
        <v>1.9458916473957963</v>
      </c>
      <c r="D68" s="11">
        <f t="shared" si="14"/>
        <v>5.9211074707384265E-2</v>
      </c>
      <c r="E68" s="9">
        <f t="shared" si="14"/>
        <v>0.70044292013967646</v>
      </c>
    </row>
    <row r="69" spans="1:5" ht="15.75" customHeight="1" x14ac:dyDescent="0.25">
      <c r="A69" s="38"/>
      <c r="B69" s="7" t="s">
        <v>13</v>
      </c>
      <c r="C69" s="9">
        <f t="shared" ref="C69:E69" si="15">C68/SQRT(5)</f>
        <v>0.87022920008521043</v>
      </c>
      <c r="D69" s="11">
        <f t="shared" si="15"/>
        <v>2.6479997613305935E-2</v>
      </c>
      <c r="E69" s="9">
        <f t="shared" si="15"/>
        <v>0.31324759675815461</v>
      </c>
    </row>
    <row r="70" spans="1:5" ht="15.75" customHeight="1" x14ac:dyDescent="0.25"/>
    <row r="71" spans="1:5" ht="15.75" customHeight="1" x14ac:dyDescent="0.25"/>
    <row r="72" spans="1:5" ht="15.75" customHeight="1" x14ac:dyDescent="0.25"/>
    <row r="73" spans="1:5" ht="15.75" customHeight="1" x14ac:dyDescent="0.25"/>
    <row r="74" spans="1:5" ht="15.75" customHeight="1" x14ac:dyDescent="0.25"/>
    <row r="75" spans="1:5" ht="15.75" customHeight="1" x14ac:dyDescent="0.25"/>
    <row r="76" spans="1:5" ht="15.75" customHeight="1" x14ac:dyDescent="0.25"/>
    <row r="77" spans="1:5" ht="15.75" customHeight="1" x14ac:dyDescent="0.25"/>
    <row r="78" spans="1:5" ht="15.75" customHeight="1" x14ac:dyDescent="0.25"/>
    <row r="79" spans="1:5" ht="15.75" customHeight="1" x14ac:dyDescent="0.25"/>
    <row r="80" spans="1: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mergeCells count="10">
    <mergeCell ref="A46:A53"/>
    <mergeCell ref="A54:A61"/>
    <mergeCell ref="A62:A69"/>
    <mergeCell ref="A1:E1"/>
    <mergeCell ref="A3:A10"/>
    <mergeCell ref="A11:A18"/>
    <mergeCell ref="A19:A26"/>
    <mergeCell ref="A27:A34"/>
    <mergeCell ref="A36:E36"/>
    <mergeCell ref="A38:A4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7"/>
  <sheetViews>
    <sheetView workbookViewId="0">
      <selection activeCell="C7" sqref="C7"/>
    </sheetView>
  </sheetViews>
  <sheetFormatPr defaultColWidth="14.42578125" defaultRowHeight="15" customHeight="1" x14ac:dyDescent="0.25"/>
  <cols>
    <col min="1" max="1" width="15.85546875" customWidth="1"/>
    <col min="2" max="2" width="21.5703125" customWidth="1"/>
    <col min="3" max="3" width="28.7109375" customWidth="1"/>
    <col min="4" max="4" width="18" customWidth="1"/>
    <col min="5" max="5" width="28.7109375" customWidth="1"/>
    <col min="6" max="26" width="8.7109375" customWidth="1"/>
  </cols>
  <sheetData>
    <row r="1" spans="1:5" x14ac:dyDescent="0.25">
      <c r="A1" s="44" t="s">
        <v>53</v>
      </c>
      <c r="B1" s="40"/>
      <c r="C1" s="40"/>
      <c r="D1" s="40"/>
      <c r="E1" s="41"/>
    </row>
    <row r="2" spans="1:5" ht="31.5" x14ac:dyDescent="0.25">
      <c r="A2" s="23" t="s">
        <v>54</v>
      </c>
      <c r="B2" s="23" t="s">
        <v>55</v>
      </c>
      <c r="C2" s="23" t="s">
        <v>2</v>
      </c>
      <c r="D2" s="23" t="s">
        <v>3</v>
      </c>
      <c r="E2" s="23" t="s">
        <v>4</v>
      </c>
    </row>
    <row r="3" spans="1:5" x14ac:dyDescent="0.25">
      <c r="A3" s="45" t="s">
        <v>0</v>
      </c>
      <c r="B3" s="24" t="s">
        <v>5</v>
      </c>
      <c r="C3" s="25" t="s">
        <v>56</v>
      </c>
      <c r="D3" s="25" t="s">
        <v>57</v>
      </c>
      <c r="E3" s="25" t="s">
        <v>58</v>
      </c>
    </row>
    <row r="4" spans="1:5" x14ac:dyDescent="0.25">
      <c r="A4" s="37"/>
      <c r="B4" s="24" t="s">
        <v>14</v>
      </c>
      <c r="C4" s="25" t="s">
        <v>59</v>
      </c>
      <c r="D4" s="25" t="s">
        <v>60</v>
      </c>
      <c r="E4" s="25" t="s">
        <v>61</v>
      </c>
    </row>
    <row r="5" spans="1:5" x14ac:dyDescent="0.25">
      <c r="A5" s="37"/>
      <c r="B5" s="24" t="s">
        <v>20</v>
      </c>
      <c r="C5" s="25" t="s">
        <v>62</v>
      </c>
      <c r="D5" s="25" t="s">
        <v>63</v>
      </c>
      <c r="E5" s="25" t="s">
        <v>64</v>
      </c>
    </row>
    <row r="6" spans="1:5" ht="15.75" customHeight="1" x14ac:dyDescent="0.25">
      <c r="A6" s="38"/>
      <c r="B6" s="24" t="s">
        <v>26</v>
      </c>
      <c r="C6" s="25" t="s">
        <v>65</v>
      </c>
      <c r="D6" s="25" t="s">
        <v>66</v>
      </c>
      <c r="E6" s="25" t="s">
        <v>67</v>
      </c>
    </row>
    <row r="7" spans="1:5" ht="15.75" customHeight="1" x14ac:dyDescent="0.25">
      <c r="A7" s="46" t="s">
        <v>32</v>
      </c>
      <c r="B7" s="26" t="s">
        <v>5</v>
      </c>
      <c r="C7" s="27" t="s">
        <v>68</v>
      </c>
      <c r="D7" s="27" t="s">
        <v>69</v>
      </c>
      <c r="E7" s="27" t="s">
        <v>70</v>
      </c>
    </row>
    <row r="8" spans="1:5" ht="15.75" customHeight="1" x14ac:dyDescent="0.25">
      <c r="A8" s="37"/>
      <c r="B8" s="26" t="s">
        <v>14</v>
      </c>
      <c r="C8" s="27" t="s">
        <v>71</v>
      </c>
      <c r="D8" s="27" t="s">
        <v>72</v>
      </c>
      <c r="E8" s="27" t="s">
        <v>73</v>
      </c>
    </row>
    <row r="9" spans="1:5" ht="15.75" customHeight="1" x14ac:dyDescent="0.25">
      <c r="A9" s="37"/>
      <c r="B9" s="26" t="s">
        <v>20</v>
      </c>
      <c r="C9" s="27" t="s">
        <v>74</v>
      </c>
      <c r="D9" s="27" t="s">
        <v>75</v>
      </c>
      <c r="E9" s="27" t="s">
        <v>76</v>
      </c>
    </row>
    <row r="10" spans="1:5" ht="15.75" customHeight="1" x14ac:dyDescent="0.25">
      <c r="A10" s="38"/>
      <c r="B10" s="26" t="s">
        <v>26</v>
      </c>
      <c r="C10" s="27" t="s">
        <v>77</v>
      </c>
      <c r="D10" s="27" t="s">
        <v>78</v>
      </c>
      <c r="E10" s="27" t="s">
        <v>79</v>
      </c>
    </row>
    <row r="11" spans="1:5" ht="15.75" customHeight="1" x14ac:dyDescent="0.25"/>
    <row r="12" spans="1:5" ht="15.75" customHeight="1" x14ac:dyDescent="0.25"/>
    <row r="13" spans="1:5" ht="15.75" customHeight="1" x14ac:dyDescent="0.25"/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</sheetData>
  <mergeCells count="3">
    <mergeCell ref="A1:E1"/>
    <mergeCell ref="A3:A6"/>
    <mergeCell ref="A7:A10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45"/>
  <sheetViews>
    <sheetView workbookViewId="0">
      <selection sqref="A1:E1"/>
    </sheetView>
  </sheetViews>
  <sheetFormatPr defaultColWidth="14.42578125" defaultRowHeight="15" customHeight="1" x14ac:dyDescent="0.25"/>
  <cols>
    <col min="1" max="1" width="15.85546875" customWidth="1"/>
    <col min="2" max="2" width="21.5703125" customWidth="1"/>
    <col min="3" max="3" width="28.7109375" customWidth="1"/>
    <col min="4" max="4" width="18" customWidth="1"/>
    <col min="5" max="5" width="28.7109375" customWidth="1"/>
    <col min="6" max="26" width="8.7109375" customWidth="1"/>
  </cols>
  <sheetData>
    <row r="1" spans="1:8" ht="15.75" x14ac:dyDescent="0.3">
      <c r="A1" s="47" t="s">
        <v>80</v>
      </c>
      <c r="B1" s="40"/>
      <c r="C1" s="40"/>
      <c r="D1" s="40"/>
      <c r="E1" s="41"/>
    </row>
    <row r="2" spans="1:8" ht="15.75" x14ac:dyDescent="0.25">
      <c r="A2" s="28" t="s">
        <v>54</v>
      </c>
      <c r="B2" s="28" t="s">
        <v>55</v>
      </c>
      <c r="C2" s="29" t="s">
        <v>81</v>
      </c>
      <c r="D2" s="29" t="s">
        <v>82</v>
      </c>
      <c r="E2" s="29" t="s">
        <v>83</v>
      </c>
    </row>
    <row r="3" spans="1:8" x14ac:dyDescent="0.25">
      <c r="A3" s="45" t="s">
        <v>0</v>
      </c>
      <c r="B3" s="24" t="s">
        <v>5</v>
      </c>
      <c r="C3" s="30">
        <f>(Summary!C8-Summary!$C$32)/Summary!$C$32*100</f>
        <v>-42.392221215294633</v>
      </c>
      <c r="D3" s="30">
        <f>(Summary!D8-Summary!$D$32)/Summary!$D$32*100</f>
        <v>44.681174224459717</v>
      </c>
      <c r="E3" s="30">
        <f>(Summary!E8-Summary!$E$32)/Summary!$E$32*100</f>
        <v>-87.936607191096229</v>
      </c>
      <c r="H3" s="31"/>
    </row>
    <row r="4" spans="1:8" x14ac:dyDescent="0.25">
      <c r="A4" s="37"/>
      <c r="B4" s="24" t="s">
        <v>14</v>
      </c>
      <c r="C4" s="32">
        <f>(Summary!C16-Summary!$C$32)/Summary!$C$32*100</f>
        <v>3.19282899481379</v>
      </c>
      <c r="D4" s="33">
        <f>(Summary!D16-Summary!$D$32)/Summary!$D$32*100</f>
        <v>0.66598567485067917</v>
      </c>
      <c r="E4" s="30">
        <f>(Summary!E16-Summary!$E$32)/Summary!$E$32*100</f>
        <v>-19.673923604212778</v>
      </c>
    </row>
    <row r="5" spans="1:8" x14ac:dyDescent="0.25">
      <c r="A5" s="38"/>
      <c r="B5" s="24" t="s">
        <v>20</v>
      </c>
      <c r="C5" s="32">
        <f>(Summary!C24-Summary!$C$32)/Summary!$C$32*100</f>
        <v>4.2261937109948517</v>
      </c>
      <c r="D5" s="32">
        <f>(Summary!D24-Summary!$D$32)/Summary!$D$32*100</f>
        <v>-7.0474626974572736</v>
      </c>
      <c r="E5" s="30">
        <f>(Summary!E24-Summary!$E$32)/Summary!$E$32*100</f>
        <v>-22.214699593483449</v>
      </c>
    </row>
    <row r="6" spans="1:8" ht="15.75" customHeight="1" x14ac:dyDescent="0.25">
      <c r="A6" s="46" t="s">
        <v>32</v>
      </c>
      <c r="B6" s="26" t="s">
        <v>5</v>
      </c>
      <c r="C6" s="34">
        <f>(Summary!C43-Summary!$C$67)/(Summary!$C$67)*100</f>
        <v>-49.5344166303992</v>
      </c>
      <c r="D6" s="34">
        <f>(Summary!D43-Summary!$D$67)/(Summary!$D$67)*100</f>
        <v>-15.197406222104101</v>
      </c>
      <c r="E6" s="34">
        <f>(Summary!E43-Summary!$E$67)/(Summary!$E$67)*100</f>
        <v>14.123303105275637</v>
      </c>
    </row>
    <row r="7" spans="1:8" ht="15.75" customHeight="1" x14ac:dyDescent="0.25">
      <c r="A7" s="37"/>
      <c r="B7" s="26" t="s">
        <v>14</v>
      </c>
      <c r="C7" s="35">
        <f>(Summary!C51-Summary!$C$67)/(Summary!$C$67)*100</f>
        <v>0.46593418671027115</v>
      </c>
      <c r="D7" s="34">
        <f>(Summary!D51-Summary!$D$67)/(Summary!$D$67)*100</f>
        <v>19.857679312764436</v>
      </c>
      <c r="E7" s="34">
        <f>(Summary!E51-Summary!$E$67)/(Summary!$E$67)*100</f>
        <v>15.481170220155995</v>
      </c>
    </row>
    <row r="8" spans="1:8" ht="15.75" customHeight="1" x14ac:dyDescent="0.25">
      <c r="A8" s="38"/>
      <c r="B8" s="26" t="s">
        <v>20</v>
      </c>
      <c r="C8" s="35">
        <f>(Summary!C59-Summary!$C$67)/(Summary!$C$67)*100</f>
        <v>-6.050280596444698</v>
      </c>
      <c r="D8" s="34">
        <f>(Summary!D59-Summary!$D$67)/(Summary!$D$67)*100</f>
        <v>15.989608926674354</v>
      </c>
      <c r="E8" s="34">
        <f>(Summary!E59-Summary!$E$67)/(Summary!$E$67)*100</f>
        <v>42.206672294598029</v>
      </c>
    </row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</sheetData>
  <mergeCells count="3">
    <mergeCell ref="A1:E1"/>
    <mergeCell ref="A3:A5"/>
    <mergeCell ref="A6:A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Averages</vt:lpstr>
      <vt:lpstr>Percentage 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Duke Vierra</cp:lastModifiedBy>
  <dcterms:created xsi:type="dcterms:W3CDTF">2025-04-05T21:25:45Z</dcterms:created>
  <dcterms:modified xsi:type="dcterms:W3CDTF">2026-07-15T09:16:33Z</dcterms:modified>
</cp:coreProperties>
</file>